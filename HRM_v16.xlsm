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li\Documents\Self Interest\"/>
    </mc:Choice>
  </mc:AlternateContent>
  <bookViews>
    <workbookView xWindow="0" yWindow="0" windowWidth="19200" windowHeight="8820" tabRatio="773"/>
  </bookViews>
  <sheets>
    <sheet name="RaceModel" sheetId="1" r:id="rId1"/>
    <sheet name="Trainer" sheetId="2" r:id="rId2"/>
    <sheet name="Gate" sheetId="16" r:id="rId3"/>
    <sheet name="Jockey" sheetId="3" r:id="rId4"/>
    <sheet name="JkcStat" sheetId="17" r:id="rId5"/>
    <sheet name="special" sheetId="19" r:id="rId6"/>
    <sheet name="R1" sheetId="4" r:id="rId7"/>
    <sheet name="R2" sheetId="5" r:id="rId8"/>
    <sheet name="R3" sheetId="6" r:id="rId9"/>
    <sheet name="R4" sheetId="7" r:id="rId10"/>
    <sheet name="R5" sheetId="8" r:id="rId11"/>
    <sheet name="R6" sheetId="9" r:id="rId12"/>
    <sheet name="R7" sheetId="10" r:id="rId13"/>
    <sheet name="R9" sheetId="12" r:id="rId14"/>
    <sheet name="R8" sheetId="11" r:id="rId15"/>
    <sheet name="R10" sheetId="13" r:id="rId16"/>
    <sheet name="R11" sheetId="14" r:id="rId17"/>
    <sheet name="Temp" sheetId="15" r:id="rId18"/>
  </sheets>
  <definedNames>
    <definedName name="_1_2" localSheetId="6">'R1'!$B$2:$Z$14</definedName>
    <definedName name="_10_2" localSheetId="15">'R10'!$B$2:$B$3</definedName>
    <definedName name="_11_2" localSheetId="16">'R11'!$B$2:$B$3</definedName>
    <definedName name="_2_2" localSheetId="7">'R2'!$B$2:$Z$14</definedName>
    <definedName name="_3_2" localSheetId="8">'R3'!$B$2:$Z$14</definedName>
    <definedName name="_4_2" localSheetId="9">'R4'!$B$2:$Z$14</definedName>
    <definedName name="_5_2" localSheetId="10">'R5'!$B$2:$Z$12</definedName>
    <definedName name="_6_2" localSheetId="11">'R6'!$B$2:$Z$14</definedName>
    <definedName name="_7_2" localSheetId="12">'R7'!$B$2:$Z$14</definedName>
    <definedName name="_8_2" localSheetId="14">'R8'!$B$2:$Z$14</definedName>
    <definedName name="_9_2" localSheetId="13">'R9'!$B$2:$B$3</definedName>
    <definedName name="Local" localSheetId="2">Gate!$B$3:$L$143</definedName>
    <definedName name="Local" localSheetId="4">JkcStat!$B$3:$Q$23</definedName>
    <definedName name="TrainerEntryTable_2" localSheetId="1">Trainer!$B$2:$N$31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5" i="17" l="1"/>
  <c r="F54" i="17"/>
  <c r="F53" i="17"/>
  <c r="C25" i="1" a="1"/>
  <c r="P25" i="1"/>
  <c r="C35" i="1" a="1"/>
  <c r="P35" i="1"/>
  <c r="P36" i="1"/>
  <c r="P51" i="1"/>
  <c r="P69" i="1"/>
  <c r="C23" i="1" a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C11" i="1"/>
  <c r="C25" i="1"/>
  <c r="C63" i="1" a="1"/>
  <c r="C63" i="1"/>
  <c r="C64" i="1"/>
  <c r="C65" i="1"/>
  <c r="C66" i="1" a="1"/>
  <c r="C66" i="1"/>
  <c r="C67" i="1"/>
  <c r="D63" i="1"/>
  <c r="D64" i="1"/>
  <c r="E63" i="1"/>
  <c r="E64" i="1"/>
  <c r="F63" i="1"/>
  <c r="F64" i="1"/>
  <c r="G63" i="1"/>
  <c r="G64" i="1"/>
  <c r="H63" i="1"/>
  <c r="H64" i="1"/>
  <c r="I63" i="1"/>
  <c r="I64" i="1"/>
  <c r="J63" i="1"/>
  <c r="J64" i="1"/>
  <c r="K63" i="1"/>
  <c r="K64" i="1"/>
  <c r="L63" i="1"/>
  <c r="L64" i="1"/>
  <c r="M63" i="1"/>
  <c r="M64" i="1"/>
  <c r="N63" i="1"/>
  <c r="N64" i="1"/>
  <c r="O63" i="1"/>
  <c r="O64" i="1"/>
  <c r="P63" i="1"/>
  <c r="P64" i="1"/>
  <c r="D65" i="1"/>
  <c r="D66" i="1"/>
  <c r="D67" i="1"/>
  <c r="E65" i="1"/>
  <c r="E66" i="1"/>
  <c r="E67" i="1"/>
  <c r="F65" i="1"/>
  <c r="F66" i="1"/>
  <c r="F67" i="1"/>
  <c r="G65" i="1"/>
  <c r="G66" i="1"/>
  <c r="G67" i="1"/>
  <c r="H65" i="1"/>
  <c r="H66" i="1"/>
  <c r="H67" i="1"/>
  <c r="I65" i="1"/>
  <c r="I66" i="1"/>
  <c r="I67" i="1"/>
  <c r="J65" i="1"/>
  <c r="J66" i="1"/>
  <c r="J67" i="1"/>
  <c r="K65" i="1"/>
  <c r="K66" i="1"/>
  <c r="K67" i="1"/>
  <c r="L65" i="1"/>
  <c r="L66" i="1"/>
  <c r="L67" i="1"/>
  <c r="M65" i="1"/>
  <c r="M66" i="1"/>
  <c r="M67" i="1"/>
  <c r="N65" i="1"/>
  <c r="N66" i="1"/>
  <c r="N67" i="1"/>
  <c r="O67" i="1"/>
  <c r="P67" i="1"/>
  <c r="C69" i="1"/>
  <c r="D25" i="1"/>
  <c r="D69" i="1"/>
  <c r="E25" i="1"/>
  <c r="E69" i="1"/>
  <c r="F25" i="1"/>
  <c r="F69" i="1"/>
  <c r="G25" i="1"/>
  <c r="G69" i="1"/>
  <c r="H25" i="1"/>
  <c r="H69" i="1"/>
  <c r="I25" i="1"/>
  <c r="I69" i="1"/>
  <c r="J25" i="1"/>
  <c r="J69" i="1"/>
  <c r="K25" i="1"/>
  <c r="K69" i="1"/>
  <c r="L25" i="1"/>
  <c r="L69" i="1"/>
  <c r="M25" i="1"/>
  <c r="M69" i="1"/>
  <c r="N25" i="1"/>
  <c r="N69" i="1"/>
  <c r="P70" i="1"/>
  <c r="C70" i="1"/>
  <c r="D70" i="1"/>
  <c r="E70" i="1"/>
  <c r="F70" i="1"/>
  <c r="G70" i="1"/>
  <c r="H70" i="1"/>
  <c r="I70" i="1"/>
  <c r="J70" i="1"/>
  <c r="K70" i="1"/>
  <c r="L70" i="1"/>
  <c r="M70" i="1"/>
  <c r="N70" i="1"/>
  <c r="P71" i="1"/>
  <c r="P82" i="1"/>
  <c r="P83" i="1"/>
  <c r="O25" i="1"/>
  <c r="O35" i="1"/>
  <c r="O36" i="1"/>
  <c r="O51" i="1"/>
  <c r="O69" i="1"/>
  <c r="O70" i="1"/>
  <c r="O71" i="1"/>
  <c r="O82" i="1"/>
  <c r="O83" i="1"/>
  <c r="N35" i="1"/>
  <c r="N40" i="1"/>
  <c r="C35" i="1"/>
  <c r="C40" i="1"/>
  <c r="D35" i="1"/>
  <c r="D40" i="1"/>
  <c r="E35" i="1"/>
  <c r="E40" i="1"/>
  <c r="F35" i="1"/>
  <c r="F40" i="1"/>
  <c r="G35" i="1"/>
  <c r="G40" i="1"/>
  <c r="H35" i="1"/>
  <c r="H40" i="1"/>
  <c r="I35" i="1"/>
  <c r="I40" i="1"/>
  <c r="J35" i="1"/>
  <c r="J40" i="1"/>
  <c r="K35" i="1"/>
  <c r="K40" i="1"/>
  <c r="L35" i="1"/>
  <c r="L40" i="1"/>
  <c r="M35" i="1"/>
  <c r="M40" i="1"/>
  <c r="N41" i="1"/>
  <c r="N47" i="1"/>
  <c r="C47" i="1"/>
  <c r="D47" i="1"/>
  <c r="E47" i="1"/>
  <c r="F47" i="1"/>
  <c r="G47" i="1"/>
  <c r="H47" i="1"/>
  <c r="I47" i="1"/>
  <c r="J47" i="1"/>
  <c r="K47" i="1"/>
  <c r="L47" i="1"/>
  <c r="M47" i="1"/>
  <c r="N48" i="1"/>
  <c r="N56" i="1"/>
  <c r="N57" i="1"/>
  <c r="N59" i="1"/>
  <c r="C60" i="1" a="1"/>
  <c r="N60" i="1"/>
  <c r="N61" i="1"/>
  <c r="N62" i="1"/>
  <c r="N71" i="1"/>
  <c r="N82" i="1"/>
  <c r="C41" i="1"/>
  <c r="C48" i="1"/>
  <c r="C56" i="1"/>
  <c r="C57" i="1"/>
  <c r="C59" i="1"/>
  <c r="C60" i="1"/>
  <c r="C61" i="1"/>
  <c r="C62" i="1"/>
  <c r="C71" i="1"/>
  <c r="C82" i="1"/>
  <c r="D41" i="1"/>
  <c r="D48" i="1"/>
  <c r="D56" i="1"/>
  <c r="D57" i="1"/>
  <c r="D59" i="1"/>
  <c r="D60" i="1"/>
  <c r="D61" i="1"/>
  <c r="D62" i="1"/>
  <c r="D71" i="1"/>
  <c r="D82" i="1"/>
  <c r="E41" i="1"/>
  <c r="E48" i="1"/>
  <c r="E56" i="1"/>
  <c r="E57" i="1"/>
  <c r="E59" i="1"/>
  <c r="E60" i="1"/>
  <c r="E61" i="1"/>
  <c r="E62" i="1"/>
  <c r="E71" i="1"/>
  <c r="E82" i="1"/>
  <c r="F41" i="1"/>
  <c r="F48" i="1"/>
  <c r="F56" i="1"/>
  <c r="F57" i="1"/>
  <c r="F59" i="1"/>
  <c r="F60" i="1"/>
  <c r="F61" i="1"/>
  <c r="F62" i="1"/>
  <c r="F71" i="1"/>
  <c r="F82" i="1"/>
  <c r="G41" i="1"/>
  <c r="G48" i="1"/>
  <c r="G56" i="1"/>
  <c r="G57" i="1"/>
  <c r="G59" i="1"/>
  <c r="G60" i="1"/>
  <c r="G61" i="1"/>
  <c r="G62" i="1"/>
  <c r="G71" i="1"/>
  <c r="G82" i="1"/>
  <c r="H41" i="1"/>
  <c r="H48" i="1"/>
  <c r="H56" i="1"/>
  <c r="H57" i="1"/>
  <c r="H59" i="1"/>
  <c r="H60" i="1"/>
  <c r="H61" i="1"/>
  <c r="H62" i="1"/>
  <c r="H71" i="1"/>
  <c r="H82" i="1"/>
  <c r="I41" i="1"/>
  <c r="I48" i="1"/>
  <c r="I56" i="1"/>
  <c r="I57" i="1"/>
  <c r="I59" i="1"/>
  <c r="I60" i="1"/>
  <c r="I61" i="1"/>
  <c r="I62" i="1"/>
  <c r="I71" i="1"/>
  <c r="I82" i="1"/>
  <c r="J41" i="1"/>
  <c r="J48" i="1"/>
  <c r="J56" i="1"/>
  <c r="J57" i="1"/>
  <c r="J59" i="1"/>
  <c r="J60" i="1"/>
  <c r="J61" i="1"/>
  <c r="J62" i="1"/>
  <c r="J71" i="1"/>
  <c r="J82" i="1"/>
  <c r="K41" i="1"/>
  <c r="K48" i="1"/>
  <c r="K56" i="1"/>
  <c r="K57" i="1"/>
  <c r="K59" i="1"/>
  <c r="K60" i="1"/>
  <c r="K61" i="1"/>
  <c r="K62" i="1"/>
  <c r="K71" i="1"/>
  <c r="K82" i="1"/>
  <c r="L41" i="1"/>
  <c r="L48" i="1"/>
  <c r="L56" i="1"/>
  <c r="L57" i="1"/>
  <c r="L59" i="1"/>
  <c r="L60" i="1"/>
  <c r="L61" i="1"/>
  <c r="L62" i="1"/>
  <c r="L71" i="1"/>
  <c r="L82" i="1"/>
  <c r="M41" i="1"/>
  <c r="M48" i="1"/>
  <c r="M56" i="1"/>
  <c r="M57" i="1"/>
  <c r="M59" i="1"/>
  <c r="M60" i="1"/>
  <c r="M61" i="1"/>
  <c r="M62" i="1"/>
  <c r="M71" i="1"/>
  <c r="M82" i="1"/>
  <c r="N83" i="1"/>
  <c r="M83" i="1"/>
  <c r="L83" i="1"/>
  <c r="K83" i="1"/>
  <c r="J83" i="1"/>
  <c r="I83" i="1"/>
  <c r="H83" i="1"/>
  <c r="G83" i="1"/>
  <c r="F83" i="1"/>
  <c r="E83" i="1"/>
  <c r="D83" i="1"/>
  <c r="C83" i="1"/>
  <c r="P41" i="1"/>
  <c r="O41" i="1"/>
  <c r="N19" i="1"/>
  <c r="N6" i="1"/>
  <c r="N7" i="1"/>
  <c r="N8" i="1"/>
  <c r="N9" i="1"/>
  <c r="N10" i="1"/>
  <c r="N11" i="1"/>
  <c r="N12" i="1"/>
  <c r="N13" i="1"/>
  <c r="N14" i="1"/>
  <c r="N15" i="1"/>
  <c r="N16" i="1"/>
  <c r="N17" i="1"/>
  <c r="O19" i="1"/>
  <c r="N18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P68" i="1"/>
  <c r="O68" i="1"/>
  <c r="N68" i="1"/>
  <c r="M68" i="1"/>
  <c r="L68" i="1"/>
  <c r="K68" i="1"/>
  <c r="J68" i="1"/>
  <c r="I68" i="1"/>
  <c r="H68" i="1"/>
  <c r="G68" i="1"/>
  <c r="F68" i="1"/>
  <c r="E68" i="1"/>
  <c r="D68" i="1"/>
  <c r="C68" i="1"/>
  <c r="P48" i="1"/>
  <c r="O48" i="1"/>
  <c r="P47" i="1"/>
  <c r="O47" i="1"/>
  <c r="P65" i="1"/>
  <c r="P66" i="1"/>
  <c r="O65" i="1"/>
  <c r="O66" i="1"/>
  <c r="F51" i="17"/>
  <c r="F50" i="17"/>
  <c r="F49" i="17"/>
  <c r="F48" i="17"/>
  <c r="F47" i="17"/>
  <c r="F46" i="17"/>
  <c r="F45" i="17"/>
  <c r="F44" i="17"/>
  <c r="F43" i="17"/>
  <c r="F42" i="17"/>
  <c r="F41" i="17"/>
  <c r="F40" i="17"/>
  <c r="F39" i="17"/>
  <c r="N35" i="17"/>
  <c r="M35" i="17"/>
  <c r="L35" i="17"/>
  <c r="K35" i="17"/>
  <c r="J35" i="17"/>
  <c r="I35" i="17"/>
  <c r="H35" i="17"/>
  <c r="G35" i="17"/>
  <c r="F35" i="17"/>
  <c r="E35" i="17"/>
  <c r="D35" i="17"/>
  <c r="C55" i="17"/>
  <c r="C54" i="17"/>
  <c r="C53" i="17"/>
  <c r="C52" i="17"/>
  <c r="C51" i="17"/>
  <c r="C50" i="17"/>
  <c r="C49" i="17"/>
  <c r="C48" i="17"/>
  <c r="C47" i="17"/>
  <c r="C46" i="17"/>
  <c r="C45" i="17"/>
  <c r="C44" i="17"/>
  <c r="C43" i="17"/>
  <c r="C42" i="17"/>
  <c r="C41" i="17"/>
  <c r="C40" i="17"/>
  <c r="C39" i="17"/>
  <c r="E55" i="17"/>
  <c r="E54" i="17"/>
  <c r="E53" i="17"/>
  <c r="E51" i="17"/>
  <c r="E50" i="17"/>
  <c r="E49" i="17"/>
  <c r="E48" i="17"/>
  <c r="E47" i="17"/>
  <c r="E46" i="17"/>
  <c r="E45" i="17"/>
  <c r="E44" i="17"/>
  <c r="E43" i="17"/>
  <c r="E42" i="17"/>
  <c r="E41" i="17"/>
  <c r="E40" i="17"/>
  <c r="E39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N36" i="17"/>
  <c r="M36" i="17"/>
  <c r="L36" i="17"/>
  <c r="K36" i="17"/>
  <c r="J36" i="17"/>
  <c r="I36" i="17"/>
  <c r="H36" i="17"/>
  <c r="G36" i="17"/>
  <c r="F36" i="17"/>
  <c r="E36" i="17"/>
  <c r="D36" i="17"/>
  <c r="P60" i="1"/>
  <c r="P61" i="1"/>
  <c r="P62" i="1"/>
  <c r="O60" i="1"/>
  <c r="O61" i="1"/>
  <c r="O62" i="1"/>
  <c r="P58" i="1"/>
  <c r="O58" i="1"/>
  <c r="N58" i="1"/>
  <c r="M58" i="1"/>
  <c r="L58" i="1"/>
  <c r="K58" i="1"/>
  <c r="J58" i="1"/>
  <c r="I58" i="1"/>
  <c r="H58" i="1"/>
  <c r="G58" i="1"/>
  <c r="F58" i="1"/>
  <c r="E58" i="1"/>
  <c r="D58" i="1"/>
  <c r="C58" i="1"/>
  <c r="P57" i="1"/>
  <c r="O57" i="1"/>
  <c r="P56" i="1"/>
  <c r="O56" i="1"/>
  <c r="P59" i="1"/>
  <c r="O59" i="1"/>
  <c r="P74" i="1"/>
  <c r="O74" i="1"/>
  <c r="N74" i="1"/>
  <c r="M74" i="1"/>
  <c r="L74" i="1"/>
  <c r="K74" i="1"/>
  <c r="J74" i="1"/>
  <c r="I74" i="1"/>
  <c r="H74" i="1"/>
  <c r="G74" i="1"/>
  <c r="F74" i="1"/>
  <c r="E74" i="1"/>
  <c r="D74" i="1"/>
  <c r="C74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C29" i="1"/>
  <c r="C10" i="1"/>
  <c r="C7" i="1"/>
  <c r="C44" i="1"/>
  <c r="A67" i="1"/>
  <c r="A66" i="1"/>
  <c r="A63" i="1"/>
  <c r="P52" i="1"/>
  <c r="O52" i="1"/>
  <c r="N52" i="1"/>
  <c r="M52" i="1"/>
  <c r="L52" i="1"/>
  <c r="K52" i="1"/>
  <c r="J52" i="1"/>
  <c r="I52" i="1"/>
  <c r="H52" i="1"/>
  <c r="G52" i="1"/>
  <c r="F52" i="1"/>
  <c r="E52" i="1"/>
  <c r="D52" i="1"/>
  <c r="C52" i="1"/>
  <c r="A52" i="1"/>
  <c r="C37" i="1" a="1"/>
  <c r="C42" i="1" a="1"/>
  <c r="C24" i="1" a="1"/>
  <c r="O42" i="1"/>
  <c r="M42" i="1"/>
  <c r="K42" i="1"/>
  <c r="I42" i="1"/>
  <c r="G42" i="1"/>
  <c r="E42" i="1"/>
  <c r="C42" i="1"/>
  <c r="P42" i="1"/>
  <c r="L42" i="1"/>
  <c r="H42" i="1"/>
  <c r="D42" i="1"/>
  <c r="N42" i="1"/>
  <c r="J42" i="1"/>
  <c r="F42" i="1"/>
  <c r="O24" i="1"/>
  <c r="M24" i="1"/>
  <c r="K24" i="1"/>
  <c r="I24" i="1"/>
  <c r="G24" i="1"/>
  <c r="E24" i="1"/>
  <c r="C24" i="1"/>
  <c r="N24" i="1"/>
  <c r="J24" i="1"/>
  <c r="F24" i="1"/>
  <c r="P24" i="1"/>
  <c r="L24" i="1"/>
  <c r="H24" i="1"/>
  <c r="D24" i="1"/>
  <c r="O30" i="1"/>
  <c r="M30" i="1"/>
  <c r="K30" i="1"/>
  <c r="I30" i="1"/>
  <c r="G30" i="1"/>
  <c r="E30" i="1"/>
  <c r="C30" i="1"/>
  <c r="C31" i="1"/>
  <c r="N30" i="1"/>
  <c r="J30" i="1"/>
  <c r="F30" i="1"/>
  <c r="P30" i="1"/>
  <c r="L30" i="1"/>
  <c r="H30" i="1"/>
  <c r="D30" i="1"/>
  <c r="N77" i="1"/>
  <c r="M77" i="1"/>
  <c r="P37" i="1"/>
  <c r="P38" i="1"/>
  <c r="N37" i="1"/>
  <c r="N38" i="1"/>
  <c r="L37" i="1"/>
  <c r="J37" i="1"/>
  <c r="H37" i="1"/>
  <c r="H38" i="1"/>
  <c r="F37" i="1"/>
  <c r="F38" i="1"/>
  <c r="D37" i="1"/>
  <c r="M37" i="1"/>
  <c r="M38" i="1"/>
  <c r="I37" i="1"/>
  <c r="E37" i="1"/>
  <c r="E38" i="1"/>
  <c r="O37" i="1"/>
  <c r="O38" i="1"/>
  <c r="K37" i="1"/>
  <c r="G37" i="1"/>
  <c r="G38" i="1"/>
  <c r="C37" i="1"/>
  <c r="C76" i="1"/>
  <c r="C75" i="1"/>
  <c r="C78" i="1"/>
  <c r="D31" i="1"/>
  <c r="D32" i="1"/>
  <c r="L31" i="1"/>
  <c r="L32" i="1"/>
  <c r="F31" i="1"/>
  <c r="F32" i="1"/>
  <c r="N31" i="1"/>
  <c r="N32" i="1"/>
  <c r="E31" i="1"/>
  <c r="E32" i="1"/>
  <c r="I31" i="1"/>
  <c r="I32" i="1"/>
  <c r="M31" i="1"/>
  <c r="M32" i="1"/>
  <c r="H31" i="1"/>
  <c r="H32" i="1"/>
  <c r="P31" i="1"/>
  <c r="P32" i="1"/>
  <c r="J31" i="1"/>
  <c r="J32" i="1"/>
  <c r="G31" i="1"/>
  <c r="G32" i="1"/>
  <c r="K31" i="1"/>
  <c r="K32" i="1"/>
  <c r="O31" i="1"/>
  <c r="O32" i="1"/>
  <c r="C32" i="1"/>
  <c r="E28" i="1"/>
  <c r="M28" i="1"/>
  <c r="G28" i="1"/>
  <c r="O28" i="1"/>
  <c r="F28" i="1"/>
  <c r="J28" i="1"/>
  <c r="N28" i="1"/>
  <c r="I28" i="1"/>
  <c r="K28" i="1"/>
  <c r="D28" i="1"/>
  <c r="H28" i="1"/>
  <c r="L28" i="1"/>
  <c r="P28" i="1"/>
  <c r="C28" i="1"/>
  <c r="C38" i="1"/>
  <c r="K38" i="1"/>
  <c r="J38" i="1"/>
  <c r="L38" i="1"/>
  <c r="I38" i="1"/>
  <c r="D38" i="1"/>
  <c r="D36" i="1"/>
  <c r="D51" i="1"/>
  <c r="L36" i="1"/>
  <c r="L51" i="1"/>
  <c r="F36" i="1"/>
  <c r="F51" i="1"/>
  <c r="N36" i="1"/>
  <c r="N51" i="1"/>
  <c r="E36" i="1"/>
  <c r="E51" i="1"/>
  <c r="I36" i="1"/>
  <c r="I51" i="1"/>
  <c r="M36" i="1"/>
  <c r="M51" i="1"/>
  <c r="H36" i="1"/>
  <c r="H51" i="1"/>
  <c r="J36" i="1"/>
  <c r="J51" i="1"/>
  <c r="G36" i="1"/>
  <c r="G51" i="1"/>
  <c r="K36" i="1"/>
  <c r="K51" i="1"/>
  <c r="C36" i="1"/>
  <c r="C51" i="1"/>
  <c r="E77" i="1"/>
  <c r="G77" i="1"/>
  <c r="O77" i="1"/>
  <c r="F77" i="1"/>
  <c r="J77" i="1"/>
  <c r="I77" i="1"/>
  <c r="C77" i="1"/>
  <c r="C79" i="1"/>
  <c r="K77" i="1"/>
  <c r="D77" i="1"/>
  <c r="H77" i="1"/>
  <c r="L77" i="1"/>
  <c r="P77" i="1"/>
  <c r="D22" i="1"/>
  <c r="F43" i="1"/>
  <c r="D43" i="1"/>
  <c r="H43" i="1"/>
  <c r="K43" i="1"/>
  <c r="L43" i="1"/>
  <c r="G43" i="1"/>
  <c r="J43" i="1"/>
  <c r="M43" i="1"/>
  <c r="O43" i="1"/>
  <c r="I43" i="1"/>
  <c r="C43" i="1"/>
  <c r="E43" i="1"/>
  <c r="N43" i="1"/>
  <c r="E22" i="1"/>
  <c r="J39" i="1"/>
  <c r="M39" i="1"/>
  <c r="E39" i="1"/>
  <c r="N39" i="1"/>
  <c r="F39" i="1"/>
  <c r="O39" i="1"/>
  <c r="K39" i="1"/>
  <c r="G39" i="1"/>
  <c r="P39" i="1"/>
  <c r="H39" i="1"/>
  <c r="I39" i="1"/>
  <c r="L39" i="1"/>
  <c r="D39" i="1"/>
  <c r="D44" i="1"/>
  <c r="P43" i="1"/>
  <c r="F22" i="1"/>
  <c r="E75" i="1"/>
  <c r="E76" i="1"/>
  <c r="E78" i="1"/>
  <c r="G76" i="1"/>
  <c r="G75" i="1"/>
  <c r="G78" i="1"/>
  <c r="D76" i="1"/>
  <c r="D75" i="1"/>
  <c r="D78" i="1"/>
  <c r="L76" i="1"/>
  <c r="L75" i="1"/>
  <c r="L78" i="1"/>
  <c r="M75" i="1"/>
  <c r="M76" i="1"/>
  <c r="M78" i="1"/>
  <c r="O76" i="1"/>
  <c r="O75" i="1"/>
  <c r="O78" i="1"/>
  <c r="H76" i="1"/>
  <c r="H75" i="1"/>
  <c r="H78" i="1"/>
  <c r="P76" i="1"/>
  <c r="P75" i="1"/>
  <c r="P78" i="1"/>
  <c r="F76" i="1"/>
  <c r="F75" i="1"/>
  <c r="F78" i="1"/>
  <c r="N76" i="1"/>
  <c r="N75" i="1"/>
  <c r="N78" i="1"/>
  <c r="I75" i="1"/>
  <c r="I76" i="1"/>
  <c r="I78" i="1"/>
  <c r="K76" i="1"/>
  <c r="K75" i="1"/>
  <c r="K78" i="1"/>
  <c r="J76" i="1"/>
  <c r="J75" i="1"/>
  <c r="J78" i="1"/>
  <c r="E44" i="1"/>
  <c r="G22" i="1"/>
  <c r="K79" i="1"/>
  <c r="I79" i="1"/>
  <c r="G79" i="1"/>
  <c r="O79" i="1"/>
  <c r="J79" i="1"/>
  <c r="N79" i="1"/>
  <c r="H79" i="1"/>
  <c r="M79" i="1"/>
  <c r="D79" i="1"/>
  <c r="F79" i="1"/>
  <c r="P79" i="1"/>
  <c r="L79" i="1"/>
  <c r="E79" i="1"/>
  <c r="F44" i="1"/>
  <c r="H22" i="1"/>
  <c r="G44" i="1"/>
  <c r="I22" i="1"/>
  <c r="H44" i="1"/>
  <c r="J22" i="1"/>
  <c r="I44" i="1"/>
  <c r="K22" i="1"/>
  <c r="J44" i="1"/>
  <c r="L22" i="1"/>
  <c r="K44" i="1"/>
  <c r="M22" i="1"/>
  <c r="L44" i="1"/>
  <c r="N22" i="1"/>
  <c r="M44" i="1"/>
  <c r="O22" i="1"/>
  <c r="N44" i="1"/>
  <c r="P22" i="1"/>
  <c r="O44" i="1"/>
  <c r="P44" i="1"/>
  <c r="O45" i="1"/>
  <c r="O46" i="1"/>
  <c r="P45" i="1"/>
  <c r="P46" i="1"/>
  <c r="D45" i="1"/>
  <c r="D46" i="1"/>
  <c r="E45" i="1"/>
  <c r="E46" i="1"/>
  <c r="F45" i="1"/>
  <c r="F46" i="1"/>
  <c r="G45" i="1"/>
  <c r="G46" i="1"/>
  <c r="H45" i="1"/>
  <c r="H46" i="1"/>
  <c r="I45" i="1"/>
  <c r="I46" i="1"/>
  <c r="L45" i="1"/>
  <c r="L46" i="1"/>
  <c r="J45" i="1"/>
  <c r="J46" i="1"/>
  <c r="N45" i="1"/>
  <c r="N46" i="1"/>
  <c r="M45" i="1"/>
  <c r="M46" i="1"/>
  <c r="K45" i="1"/>
  <c r="K46" i="1"/>
  <c r="C45" i="1"/>
  <c r="C46" i="1"/>
  <c r="O81" i="1"/>
  <c r="F81" i="1"/>
  <c r="L81" i="1"/>
  <c r="K81" i="1"/>
  <c r="G81" i="1"/>
  <c r="J81" i="1"/>
  <c r="D81" i="1"/>
  <c r="H81" i="1"/>
  <c r="N81" i="1"/>
  <c r="E81" i="1"/>
  <c r="I81" i="1"/>
  <c r="M81" i="1"/>
  <c r="P81" i="1"/>
  <c r="C81" i="1"/>
  <c r="L7" i="1"/>
  <c r="L15" i="1"/>
  <c r="M19" i="1"/>
  <c r="L6" i="1"/>
  <c r="M7" i="1"/>
  <c r="M12" i="1"/>
  <c r="M8" i="1"/>
  <c r="M16" i="1"/>
  <c r="L17" i="1"/>
  <c r="M13" i="1"/>
  <c r="M9" i="1"/>
  <c r="L8" i="1"/>
  <c r="L19" i="1"/>
  <c r="M18" i="1"/>
  <c r="M17" i="1"/>
  <c r="M6" i="1"/>
  <c r="M15" i="1"/>
  <c r="M10" i="1"/>
  <c r="L18" i="1"/>
  <c r="M14" i="1"/>
  <c r="L9" i="1"/>
  <c r="L16" i="1"/>
  <c r="L12" i="1"/>
  <c r="L14" i="1"/>
  <c r="L13" i="1"/>
  <c r="L10" i="1"/>
  <c r="M11" i="1"/>
  <c r="L11" i="1"/>
</calcChain>
</file>

<file path=xl/connections.xml><?xml version="1.0" encoding="utf-8"?>
<connections xmlns="http://schemas.openxmlformats.org/spreadsheetml/2006/main">
  <connection id="1" name="Connection2" type="4" refreshedVersion="0" background="1">
    <webPr url="http://racing.hkjc.com/racing/Info/Meeting/RaceCard/Chinese/Local/20150928/ST/10" htmlTables="1" htmlFormat="all"/>
  </connection>
  <connection id="2" name="Connection25" type="4" refreshedVersion="5" background="1" saveData="1">
    <webPr sourceData="1" parsePre="1" consecutive="1" xl2000="1" url="http://racing.hkjc.com/racing/info/meeting/Draw/chinese/Local" htmlTables="1">
      <tables count="8">
        <x v="7"/>
        <x v="11"/>
        <x v="15"/>
        <x v="19"/>
        <x v="23"/>
        <x v="27"/>
        <x v="31"/>
        <x v="35"/>
      </tables>
    </webPr>
  </connection>
  <connection id="3" name="Connection26" type="4" refreshedVersion="5" saveData="1">
    <webPr sourceData="1" parsePre="1" consecutive="1" textDates="1" xl2000="1" url="http://racing.hkjc.com/racing/Info/Meeting/RaceCard/Chinese/Local/20161019/HV/1" htmlTables="1">
      <tables count="1">
        <x v="9"/>
      </tables>
    </webPr>
  </connection>
  <connection id="4" name="Connection27" type="4" refreshedVersion="5" saveData="1">
    <webPr sourceData="1" parsePre="1" consecutive="1" textDates="1" xl2000="1" url="http://racing.hkjc.com/racing/Info/Meeting/RaceCard/Chinese/Local/20161019/HV/2" htmlTables="1">
      <tables count="1">
        <x v="9"/>
      </tables>
    </webPr>
  </connection>
  <connection id="5" name="Connection28" type="4" refreshedVersion="5" saveData="1">
    <webPr sourceData="1" parsePre="1" consecutive="1" textDates="1" xl2000="1" url="http://racing.hkjc.com/racing/Info/Meeting/RaceCard/Chinese/Local/20161019/HV/3" htmlTables="1">
      <tables count="1">
        <x v="9"/>
      </tables>
    </webPr>
  </connection>
  <connection id="6" name="Connection29" type="4" refreshedVersion="5" saveData="1">
    <webPr sourceData="1" parsePre="1" consecutive="1" textDates="1" xl2000="1" url="http://racing.hkjc.com/racing/Info/Meeting/RaceCard/Chinese/Local/20161019/HV/4" htmlTables="1">
      <tables count="1">
        <x v="9"/>
      </tables>
    </webPr>
  </connection>
  <connection id="7" name="Connection30" type="4" refreshedVersion="5" saveData="1">
    <webPr sourceData="1" parsePre="1" consecutive="1" textDates="1" xl2000="1" url="http://racing.hkjc.com/racing/Info/Meeting/RaceCard/Chinese/Local/20161019/HV/5" htmlTables="1">
      <tables count="1">
        <x v="9"/>
      </tables>
    </webPr>
  </connection>
  <connection id="8" name="Connection31" type="4" refreshedVersion="5" saveData="1">
    <webPr sourceData="1" parsePre="1" consecutive="1" textDates="1" xl2000="1" url="http://racing.hkjc.com/racing/Info/Meeting/RaceCard/Chinese/Local/20161019/HV/6" htmlTables="1">
      <tables count="1">
        <x v="9"/>
      </tables>
    </webPr>
  </connection>
  <connection id="9" name="Connection32" type="4" refreshedVersion="5" saveData="1">
    <webPr sourceData="1" parsePre="1" consecutive="1" textDates="1" xl2000="1" url="http://racing.hkjc.com/racing/Info/Meeting/RaceCard/Chinese/Local/20161019/HV/7" htmlTables="1">
      <tables count="1">
        <x v="9"/>
      </tables>
    </webPr>
  </connection>
  <connection id="10" name="Connection33" type="4" refreshedVersion="5" saveData="1">
    <webPr sourceData="1" parsePre="1" consecutive="1" textDates="1" xl2000="1" url="http://racing.hkjc.com/racing/Info/Meeting/RaceCard/Chinese/Local/20161019/HV/8" htmlTables="1">
      <tables count="1">
        <x v="9"/>
      </tables>
    </webPr>
  </connection>
  <connection id="11" name="Connection34" type="4" refreshedVersion="5" saveData="1">
    <webPr sourceData="1" parsePre="1" consecutive="1" textDates="1" xl2000="1" url="http://racing.hkjc.com/racing/Info/Meeting/RaceCard/Chinese/Local/20161019/HV/9" htmlTables="1">
      <tables count="1">
        <x v="9"/>
      </tables>
    </webPr>
  </connection>
  <connection id="12" name="Connection35" type="4" refreshedVersion="5" saveData="1">
    <webPr sourceData="1" parsePre="1" consecutive="1" textDates="1" xl2000="1" url="http://racing.hkjc.com/racing/Info/Meeting/RaceCard/Chinese/Local/20161019/HV/10" htmlTables="1">
      <tables count="1">
        <x v="9"/>
      </tables>
    </webPr>
  </connection>
  <connection id="13" name="Connection36" type="4" refreshedVersion="5" saveData="1">
    <webPr sourceData="1" parsePre="1" consecutive="1" textDates="1" xl2000="1" url="http://racing.hkjc.com/racing/Info/Meeting/RaceCard/Chinese/Local/20161019/HV/11" htmlTables="1">
      <tables count="1">
        <x v="9"/>
      </tables>
    </webPr>
  </connection>
  <connection id="14" name="Connection37" type="4" refreshedVersion="5" saveData="1">
    <webPr sourceData="1" parsePre="1" consecutive="1" xl2000="1" url="http://racing.hkjc.com/racing/Info/meeting/TrainerEntry/chinese/Local/20161019/HV" htmlTables="1">
      <tables count="1">
        <s v="trainerEntryInfo"/>
      </tables>
    </webPr>
  </connection>
  <connection id="15" name="Connection38" type="4" refreshedVersion="5" saveData="1">
    <webPr parsePre="1" consecutive="1" textDates="1" xl2000="1" url="http://racing.hkjc.com/racing/info/meeting/JkcStat/chinese/Local" htmlTables="1">
      <tables count="1">
        <x v="3"/>
      </tables>
    </webPr>
  </connection>
</connections>
</file>

<file path=xl/sharedStrings.xml><?xml version="1.0" encoding="utf-8"?>
<sst xmlns="http://schemas.openxmlformats.org/spreadsheetml/2006/main" count="2002" uniqueCount="997">
  <si>
    <t>Linear Score Race Model</t>
  </si>
  <si>
    <t>Date:</t>
    <phoneticPr fontId="3" type="noConversion"/>
  </si>
  <si>
    <t>Venue:</t>
    <phoneticPr fontId="3" type="noConversion"/>
  </si>
  <si>
    <t>Estimated Result</t>
    <phoneticPr fontId="3" type="noConversion"/>
  </si>
  <si>
    <t>Race No.</t>
    <phoneticPr fontId="3" type="noConversion"/>
  </si>
  <si>
    <t>Rank</t>
  </si>
  <si>
    <t>Horse no.</t>
  </si>
  <si>
    <t>Horse Name</t>
    <phoneticPr fontId="3" type="noConversion"/>
  </si>
  <si>
    <t>Score</t>
  </si>
  <si>
    <t>Pace:</t>
  </si>
  <si>
    <t>*1 is slowest, 5 is fastest</t>
  </si>
  <si>
    <t>Race Distance:</t>
  </si>
  <si>
    <t>Ground</t>
  </si>
  <si>
    <t>*Ground degree</t>
  </si>
  <si>
    <t>Track</t>
  </si>
  <si>
    <t>Horse No.</t>
  </si>
  <si>
    <t>Para.s</t>
  </si>
  <si>
    <t>Description</t>
  </si>
  <si>
    <t>Code</t>
    <phoneticPr fontId="3" type="noConversion"/>
  </si>
  <si>
    <t>Draw</t>
  </si>
  <si>
    <t>*Draw</t>
  </si>
  <si>
    <t>Rel Position (start 300)</t>
    <phoneticPr fontId="3" type="noConversion"/>
  </si>
  <si>
    <t>*Relative position mainly ref to speed map, and then guestimate a bit</t>
  </si>
  <si>
    <t>Cover Layer</t>
    <phoneticPr fontId="3" type="noConversion"/>
  </si>
  <si>
    <t>*Cover layer describes how far from the inner bar</t>
    <phoneticPr fontId="3" type="noConversion"/>
  </si>
  <si>
    <t>Energy Lost</t>
    <phoneticPr fontId="3" type="noConversion"/>
  </si>
  <si>
    <t>*estimate how hard a horse to reach certain position  given certain draw</t>
    <phoneticPr fontId="3" type="noConversion"/>
  </si>
  <si>
    <t>Last Rush speed (s)</t>
  </si>
  <si>
    <t>*Time to finish last section, ref to last race with same distance</t>
  </si>
  <si>
    <t>Centralized Speed</t>
    <phoneticPr fontId="3" type="noConversion"/>
  </si>
  <si>
    <t>*centralized speed</t>
    <phoneticPr fontId="3" type="noConversion"/>
  </si>
  <si>
    <t>Jockey</t>
    <phoneticPr fontId="3" type="noConversion"/>
  </si>
  <si>
    <t>Jockey Power Index</t>
    <phoneticPr fontId="3" type="noConversion"/>
  </si>
  <si>
    <t>*relative status + strength of jockey, suggest range 0.5-1.2</t>
  </si>
  <si>
    <t>Claimed Handicap</t>
    <phoneticPr fontId="3" type="noConversion"/>
  </si>
  <si>
    <t>Real Handicap</t>
  </si>
  <si>
    <t>*Real Handicap, also take account of jockey additional handicap</t>
  </si>
  <si>
    <t>*Difference from handicap ceiling</t>
  </si>
  <si>
    <t>Horse Weight</t>
    <phoneticPr fontId="3" type="noConversion"/>
  </si>
  <si>
    <t>*Status of horse, 1 means fit, can be superfit/outperform, suggest 0.50 - 1.10</t>
  </si>
  <si>
    <t>Manual Factor</t>
  </si>
  <si>
    <t>*Self adjust a few to better estimate the real performance, e.g. trump card, special matchup</t>
  </si>
  <si>
    <t>With Trump Card</t>
    <phoneticPr fontId="3" type="noConversion"/>
  </si>
  <si>
    <t>*With Trump card declared</t>
    <phoneticPr fontId="3" type="noConversion"/>
  </si>
  <si>
    <t>jockey record</t>
    <phoneticPr fontId="3" type="noConversion"/>
  </si>
  <si>
    <t>*Average rank with jockey, check last 5 race only</t>
    <phoneticPr fontId="3" type="noConversion"/>
  </si>
  <si>
    <t>distance record</t>
    <phoneticPr fontId="3" type="noConversion"/>
  </si>
  <si>
    <t>*Average rank in such dist, last 5 races only</t>
    <phoneticPr fontId="3" type="noConversion"/>
  </si>
  <si>
    <t>Match Jockey</t>
    <phoneticPr fontId="3" type="noConversion"/>
  </si>
  <si>
    <t>*Average rank&lt;4, score=1, &lt;=6, score=0.7, &lt;=8, score=0.3</t>
    <phoneticPr fontId="3" type="noConversion"/>
  </si>
  <si>
    <t>Distance Expertise</t>
    <phoneticPr fontId="3" type="noConversion"/>
  </si>
  <si>
    <t>*Average rank&lt;4, score=1, &lt;=6, score=0.7, &lt;=8, score=0.3</t>
    <phoneticPr fontId="3" type="noConversion"/>
  </si>
  <si>
    <t>Pace-Ground-Draw/Distance Score</t>
    <phoneticPr fontId="3" type="noConversion"/>
  </si>
  <si>
    <t>Pace Factor</t>
  </si>
  <si>
    <t>*pace effect, a multiplier for rel.pos effect</t>
  </si>
  <si>
    <t>Ground +Track Adj</t>
  </si>
  <si>
    <t>*Comprising ground degree, track type, a multiplier for rel.pos effect</t>
  </si>
  <si>
    <t>Hinderance Effect</t>
    <phoneticPr fontId="3" type="noConversion"/>
  </si>
  <si>
    <t>Draw Factor</t>
    <phoneticPr fontId="3" type="noConversion"/>
  </si>
  <si>
    <t>*Draw effect, associated with track type</t>
  </si>
  <si>
    <t>Distance Factor</t>
  </si>
  <si>
    <t>*Distance effect</t>
  </si>
  <si>
    <t>P-G-DD Comp score</t>
  </si>
  <si>
    <t>*Pace effect + Ground&amp;Track Adj + (Draw x Distance) effect</t>
  </si>
  <si>
    <t>Non-P-G-DD score</t>
    <phoneticPr fontId="3" type="noConversion"/>
  </si>
  <si>
    <t>練馬師</t>
  </si>
  <si>
    <t>今季成績</t>
  </si>
  <si>
    <t>第 1 場</t>
  </si>
  <si>
    <t>第 2 場</t>
  </si>
  <si>
    <t>第 3 場</t>
  </si>
  <si>
    <t>第 4 場</t>
  </si>
  <si>
    <t>第 5 場</t>
  </si>
  <si>
    <t>第 6 場</t>
  </si>
  <si>
    <t>第 7 場</t>
  </si>
  <si>
    <t>第 8 場</t>
  </si>
  <si>
    <t>賽事班次</t>
  </si>
  <si>
    <t>冠</t>
  </si>
  <si>
    <t>亞</t>
  </si>
  <si>
    <t>季</t>
  </si>
  <si>
    <t>出馬</t>
  </si>
  <si>
    <t>format for copy</t>
    <phoneticPr fontId="3" type="noConversion"/>
  </si>
  <si>
    <t>途程</t>
  </si>
  <si>
    <t>總數</t>
  </si>
  <si>
    <t>1200米</t>
  </si>
  <si>
    <t>&lt;-this cell</t>
    <phoneticPr fontId="3" type="noConversion"/>
  </si>
  <si>
    <t>賽道</t>
  </si>
  <si>
    <t>草地</t>
  </si>
  <si>
    <t>葉楚航</t>
  </si>
  <si>
    <t>方嘉柏</t>
  </si>
  <si>
    <t>呂健威</t>
  </si>
  <si>
    <t>徐雨石</t>
  </si>
  <si>
    <t>沈集成</t>
  </si>
  <si>
    <t>蘇偉賢</t>
  </si>
  <si>
    <t>告東尼</t>
  </si>
  <si>
    <t>高伯新</t>
  </si>
  <si>
    <t>蔡約翰</t>
  </si>
  <si>
    <t>姚本輝</t>
  </si>
  <si>
    <t>鄭俊偉</t>
  </si>
  <si>
    <t>容天鵬</t>
  </si>
  <si>
    <t>文家良</t>
  </si>
  <si>
    <t>何良</t>
  </si>
  <si>
    <t>蘇保羅</t>
  </si>
  <si>
    <t>賀賢</t>
  </si>
  <si>
    <t>吳定強</t>
  </si>
  <si>
    <t>苗禮德</t>
  </si>
  <si>
    <t>霍利時</t>
  </si>
  <si>
    <t>約翰摩亞</t>
  </si>
  <si>
    <t>告達理</t>
  </si>
  <si>
    <t>李易達</t>
  </si>
  <si>
    <t>Jockey Strength</t>
    <phoneticPr fontId="3" type="noConversion"/>
  </si>
  <si>
    <t>Jockey</t>
    <phoneticPr fontId="3" type="noConversion"/>
  </si>
  <si>
    <t>Strength</t>
    <phoneticPr fontId="3" type="noConversion"/>
  </si>
  <si>
    <t>莫雷拉</t>
  </si>
  <si>
    <t>潘頓</t>
  </si>
  <si>
    <t>韋達</t>
  </si>
  <si>
    <t>布文</t>
  </si>
  <si>
    <t>田泰安</t>
  </si>
  <si>
    <t>貝湯美</t>
  </si>
  <si>
    <t>蘇銘倫</t>
  </si>
  <si>
    <t>杜利萊</t>
  </si>
  <si>
    <t>郭能</t>
  </si>
  <si>
    <t>巫斯義</t>
  </si>
  <si>
    <t>李寶利</t>
  </si>
  <si>
    <t>柏寶</t>
  </si>
  <si>
    <t>紀仁安</t>
  </si>
  <si>
    <t>梁家俊</t>
  </si>
  <si>
    <t>羅理雅</t>
  </si>
  <si>
    <t>杜滿萊</t>
  </si>
  <si>
    <t>薛寶力</t>
  </si>
  <si>
    <t>蔡明紹</t>
  </si>
  <si>
    <t>楊明綸</t>
  </si>
  <si>
    <t>何澤堯</t>
  </si>
  <si>
    <t>呂卓賢</t>
  </si>
  <si>
    <t>蘇狄雄</t>
  </si>
  <si>
    <t>吳嘉晉</t>
  </si>
  <si>
    <t>黎海榮</t>
  </si>
  <si>
    <t>鄭雨滇</t>
  </si>
  <si>
    <t>賴維銘</t>
  </si>
  <si>
    <t>湯智傑</t>
  </si>
  <si>
    <t>馬匹編號</t>
  </si>
  <si>
    <t>6次近績</t>
  </si>
  <si>
    <t>綵衣</t>
  </si>
  <si>
    <t>馬名</t>
  </si>
  <si>
    <t>烙號</t>
  </si>
  <si>
    <t>負磅</t>
  </si>
  <si>
    <t>騎師</t>
  </si>
  <si>
    <t>可能超磅</t>
  </si>
  <si>
    <t>檔位</t>
  </si>
  <si>
    <t>評分</t>
  </si>
  <si>
    <t>評分+/-</t>
  </si>
  <si>
    <t>排位體重</t>
  </si>
  <si>
    <t>排位體重+/-</t>
  </si>
  <si>
    <t>最佳時間</t>
  </si>
  <si>
    <t>馬齡</t>
  </si>
  <si>
    <t>分齡讓磅</t>
  </si>
  <si>
    <t>性別</t>
  </si>
  <si>
    <t>今季獎金</t>
  </si>
  <si>
    <t>優先參賽次序</t>
  </si>
  <si>
    <t>配備</t>
  </si>
  <si>
    <t>馬主</t>
  </si>
  <si>
    <t>父系</t>
  </si>
  <si>
    <t>母系</t>
  </si>
  <si>
    <t>進口類別</t>
  </si>
  <si>
    <t>-</t>
  </si>
  <si>
    <t>PP</t>
  </si>
  <si>
    <t>閹</t>
  </si>
  <si>
    <t>B/TT</t>
  </si>
  <si>
    <t>PPG</t>
  </si>
  <si>
    <t>O'Reilly</t>
  </si>
  <si>
    <t>楊明綸(-2)</t>
  </si>
  <si>
    <t>SR</t>
  </si>
  <si>
    <t>V</t>
  </si>
  <si>
    <t>何澤堯(-2)</t>
  </si>
  <si>
    <t>霍勵賢</t>
  </si>
  <si>
    <t>B</t>
  </si>
  <si>
    <t>史卓豐</t>
  </si>
  <si>
    <t>Elusive City</t>
  </si>
  <si>
    <t>ISG</t>
  </si>
  <si>
    <t>Towkay</t>
  </si>
  <si>
    <t>TT</t>
  </si>
  <si>
    <t>Domesday</t>
  </si>
  <si>
    <t>H</t>
  </si>
  <si>
    <t>梁家俊(-2)</t>
  </si>
  <si>
    <t>High Chaparral</t>
  </si>
  <si>
    <t>* 1</t>
  </si>
  <si>
    <t>B/XB</t>
  </si>
  <si>
    <t>Holy Roman Emperor</t>
  </si>
  <si>
    <t>Encosta de Lago</t>
  </si>
  <si>
    <t>Bachelor Duke</t>
  </si>
  <si>
    <t>H/TT</t>
  </si>
  <si>
    <t>CP/TT</t>
  </si>
  <si>
    <t>PC</t>
  </si>
  <si>
    <t>Exceed And Excel</t>
  </si>
  <si>
    <t>Castledale</t>
  </si>
  <si>
    <t>蔣嘉琦</t>
    <phoneticPr fontId="2" type="noConversion"/>
  </si>
  <si>
    <t>湯智傑</t>
    <phoneticPr fontId="2" type="noConversion"/>
  </si>
  <si>
    <t>黃皓楠</t>
    <phoneticPr fontId="2" type="noConversion"/>
  </si>
  <si>
    <t>Class</t>
    <phoneticPr fontId="2" type="noConversion"/>
  </si>
  <si>
    <t>Horse Score</t>
    <phoneticPr fontId="2" type="noConversion"/>
  </si>
  <si>
    <t>Horse Score change</t>
    <phoneticPr fontId="3" type="noConversion"/>
  </si>
  <si>
    <t>Handicap Diff</t>
    <phoneticPr fontId="2" type="noConversion"/>
  </si>
  <si>
    <t>Horse Score Diff</t>
    <phoneticPr fontId="2" type="noConversion"/>
  </si>
  <si>
    <t>Score vs Handicap</t>
    <phoneticPr fontId="2" type="noConversion"/>
  </si>
  <si>
    <t>Chance of Block Seat</t>
    <phoneticPr fontId="2" type="noConversion"/>
  </si>
  <si>
    <t>Jockey Escape Block</t>
    <phoneticPr fontId="2" type="noConversion"/>
  </si>
  <si>
    <t>Block seat escape power (max=3)</t>
    <phoneticPr fontId="2" type="noConversion"/>
  </si>
  <si>
    <t>BlockSeat Fac</t>
    <phoneticPr fontId="2" type="noConversion"/>
  </si>
  <si>
    <t>100% - BS</t>
    <phoneticPr fontId="2" type="noConversion"/>
  </si>
  <si>
    <t>Best Class</t>
    <phoneticPr fontId="2" type="noConversion"/>
  </si>
  <si>
    <t>HV</t>
    <phoneticPr fontId="3" type="noConversion"/>
  </si>
  <si>
    <t>蔣嘉琦(-7)</t>
  </si>
  <si>
    <t>B/H/TT</t>
  </si>
  <si>
    <t>寶遜</t>
  </si>
  <si>
    <t>B1/TT</t>
  </si>
  <si>
    <t>Fastnet Rock</t>
  </si>
  <si>
    <t>Danerich</t>
  </si>
  <si>
    <t>雷景勳</t>
  </si>
  <si>
    <t>黃皓楠(-7)</t>
  </si>
  <si>
    <t>Kyllachy</t>
  </si>
  <si>
    <t>Iffraaj</t>
  </si>
  <si>
    <t>Starboard Light</t>
  </si>
  <si>
    <t>1.10.44</t>
  </si>
  <si>
    <t>* 2</t>
  </si>
  <si>
    <t>劉鐵成</t>
  </si>
  <si>
    <t>1.10.64</t>
  </si>
  <si>
    <t>I Am Invincible</t>
  </si>
  <si>
    <t>Starcraft</t>
  </si>
  <si>
    <t>T140</t>
  </si>
  <si>
    <t>越跑越好</t>
  </si>
  <si>
    <t>簡志堅與簡耀聰</t>
  </si>
  <si>
    <t>Red Giant</t>
  </si>
  <si>
    <t>Sweet Vibes</t>
  </si>
  <si>
    <t>1.09.74</t>
  </si>
  <si>
    <t>T314</t>
  </si>
  <si>
    <t>越駿寶</t>
  </si>
  <si>
    <t>關華與陳東</t>
  </si>
  <si>
    <t>Capital Gold</t>
  </si>
  <si>
    <t>Fully Fledged</t>
  </si>
  <si>
    <t>S408</t>
  </si>
  <si>
    <t>法國將軍</t>
  </si>
  <si>
    <t>開心贏團體</t>
  </si>
  <si>
    <t>Country Reel</t>
  </si>
  <si>
    <t>Adeje Park</t>
  </si>
  <si>
    <t>V/TT</t>
  </si>
  <si>
    <t>1.09.87</t>
  </si>
  <si>
    <t>S028</t>
  </si>
  <si>
    <t>野孩子</t>
  </si>
  <si>
    <t>1.10.22</t>
  </si>
  <si>
    <t>黃淑貞、文頴怡與鄭子邦</t>
  </si>
  <si>
    <t>Hawkeye</t>
  </si>
  <si>
    <t>Red Carrera</t>
  </si>
  <si>
    <t>1800米</t>
  </si>
  <si>
    <t>1650米</t>
  </si>
  <si>
    <t>法國將軍 +</t>
  </si>
  <si>
    <t>T329</t>
  </si>
  <si>
    <t>大道至公</t>
  </si>
  <si>
    <t>何嘉遠</t>
  </si>
  <si>
    <t>Tralanza</t>
  </si>
  <si>
    <t>1.49.41</t>
  </si>
  <si>
    <t>祈普敦</t>
  </si>
  <si>
    <t>1.50.36</t>
  </si>
  <si>
    <t>S205</t>
  </si>
  <si>
    <t>糖黐豆</t>
  </si>
  <si>
    <t>1.50.77</t>
  </si>
  <si>
    <t>梁昌明</t>
  </si>
  <si>
    <t>Skates</t>
  </si>
  <si>
    <t>P407</t>
  </si>
  <si>
    <t>董事長</t>
  </si>
  <si>
    <t>1.51.47</t>
  </si>
  <si>
    <t>董惠華</t>
  </si>
  <si>
    <t>Medicean</t>
  </si>
  <si>
    <t>Red Blossom</t>
  </si>
  <si>
    <t>1.10.30</t>
  </si>
  <si>
    <t>T054</t>
  </si>
  <si>
    <t>喜盈盈</t>
  </si>
  <si>
    <t>1.10.48</t>
  </si>
  <si>
    <t>維嘉斯團體</t>
  </si>
  <si>
    <t>Al Samer</t>
  </si>
  <si>
    <t>Alice's Restaurant</t>
  </si>
  <si>
    <t>S087</t>
  </si>
  <si>
    <t>金威利</t>
  </si>
  <si>
    <t>詹金源先生及夫人</t>
  </si>
  <si>
    <t>Head Enfilade</t>
  </si>
  <si>
    <t>Lonhro</t>
  </si>
  <si>
    <t>S204</t>
  </si>
  <si>
    <t>霸氣</t>
  </si>
  <si>
    <t>1.11.93</t>
  </si>
  <si>
    <t>譚國柱先生及夫人與譚永耀</t>
  </si>
  <si>
    <t>Nomadic Princess</t>
  </si>
  <si>
    <t>V052</t>
  </si>
  <si>
    <t>鴻圖飛星</t>
  </si>
  <si>
    <t>劉德偉先生及夫人與劉文淵</t>
  </si>
  <si>
    <t>Noble Indiana</t>
  </si>
  <si>
    <t>S420</t>
  </si>
  <si>
    <t>總統至上</t>
  </si>
  <si>
    <t>章日源先生及夫人</t>
  </si>
  <si>
    <t>Magical Slice</t>
  </si>
  <si>
    <t>P120</t>
  </si>
  <si>
    <t>金筷子</t>
  </si>
  <si>
    <t>金礦團體</t>
  </si>
  <si>
    <t>Verglas</t>
  </si>
  <si>
    <t>Brazilian Style</t>
  </si>
  <si>
    <t>S200</t>
  </si>
  <si>
    <t>勁優秀</t>
  </si>
  <si>
    <t>誠信團體</t>
  </si>
  <si>
    <t>Trotamondo</t>
  </si>
  <si>
    <t>Lady Lexus</t>
  </si>
  <si>
    <t>V291</t>
  </si>
  <si>
    <t>安友</t>
  </si>
  <si>
    <t>王賢敏</t>
  </si>
  <si>
    <t>Dutch Art</t>
  </si>
  <si>
    <t>Czarna Roza</t>
  </si>
  <si>
    <t>1.10.32</t>
  </si>
  <si>
    <t>Commands</t>
  </si>
  <si>
    <t>Written Tycoon</t>
  </si>
  <si>
    <t>T205</t>
  </si>
  <si>
    <t>八運</t>
  </si>
  <si>
    <t>1.09.99</t>
  </si>
  <si>
    <t>黎耀強</t>
  </si>
  <si>
    <t>Lim's Rainbow</t>
  </si>
  <si>
    <t>S104</t>
  </si>
  <si>
    <t>星際武士</t>
  </si>
  <si>
    <t>1.09.77</t>
  </si>
  <si>
    <t>靈犀賽馬團體</t>
  </si>
  <si>
    <t>Earthwarming</t>
  </si>
  <si>
    <t>V117</t>
  </si>
  <si>
    <t>敬無極</t>
  </si>
  <si>
    <t>Royal Applause</t>
  </si>
  <si>
    <t>Naizak</t>
  </si>
  <si>
    <t>1.41.45</t>
  </si>
  <si>
    <t>N394</t>
  </si>
  <si>
    <t>皇者拍檔</t>
  </si>
  <si>
    <t>1.39.67</t>
  </si>
  <si>
    <t>Rusy M Shroff &amp; Purviz R Shroff</t>
  </si>
  <si>
    <t>Hill Of Peace</t>
  </si>
  <si>
    <t>T056</t>
  </si>
  <si>
    <t>開心健康</t>
  </si>
  <si>
    <t>1.41.17</t>
  </si>
  <si>
    <t>好鄰居團體</t>
  </si>
  <si>
    <t>Sidereus Nuncius</t>
  </si>
  <si>
    <t>V105</t>
  </si>
  <si>
    <t>超強快駒</t>
  </si>
  <si>
    <t>1.41.16</t>
  </si>
  <si>
    <t>鄭明銓醫生、陳永隆、梁均棠與許創偉</t>
  </si>
  <si>
    <t>Showcasing</t>
  </si>
  <si>
    <t>Danceabeel</t>
  </si>
  <si>
    <t>V072</t>
  </si>
  <si>
    <t>無限欣賞</t>
  </si>
  <si>
    <t>曾向欣</t>
  </si>
  <si>
    <t>Dylan Thomas</t>
  </si>
  <si>
    <t>Jedrzejczak</t>
  </si>
  <si>
    <t>1.41.22</t>
  </si>
  <si>
    <t>H/PC/TT</t>
  </si>
  <si>
    <t>N409</t>
  </si>
  <si>
    <t>聖驛善</t>
  </si>
  <si>
    <t>許晋義</t>
  </si>
  <si>
    <t>Keeper</t>
  </si>
  <si>
    <t>Sometimes</t>
  </si>
  <si>
    <t>XB</t>
  </si>
  <si>
    <t>T031</t>
  </si>
  <si>
    <t>騏名燈</t>
  </si>
  <si>
    <t>沈漢深與馮廣進</t>
  </si>
  <si>
    <t>Rijeka</t>
  </si>
  <si>
    <t>V179</t>
  </si>
  <si>
    <t>幸運神駒</t>
  </si>
  <si>
    <t>梁啟徽</t>
  </si>
  <si>
    <t>Open Book</t>
  </si>
  <si>
    <t>V088</t>
  </si>
  <si>
    <t>銀城福星</t>
  </si>
  <si>
    <t>H/XB/TT</t>
  </si>
  <si>
    <t>銀城團體</t>
  </si>
  <si>
    <t>Lope de Vega</t>
  </si>
  <si>
    <t>Dancescape</t>
  </si>
  <si>
    <t>Thorn Park</t>
  </si>
  <si>
    <t>袁仕傑</t>
  </si>
  <si>
    <t>Casino Prince</t>
  </si>
  <si>
    <t>T100</t>
  </si>
  <si>
    <t>平天下</t>
  </si>
  <si>
    <t>張興來先生及夫人</t>
  </si>
  <si>
    <t>Regent's Park</t>
  </si>
  <si>
    <t>Rock Of Gibraltar</t>
  </si>
  <si>
    <t>P189</t>
  </si>
  <si>
    <t>嘉應小子</t>
  </si>
  <si>
    <t>1.39.85</t>
  </si>
  <si>
    <t>H/XB</t>
  </si>
  <si>
    <t>梁錫光</t>
  </si>
  <si>
    <t>Castilian Queen</t>
  </si>
  <si>
    <t>V270</t>
  </si>
  <si>
    <t>軍勇戰略</t>
  </si>
  <si>
    <t>趙怡</t>
  </si>
  <si>
    <t>Richfield Rose</t>
  </si>
  <si>
    <t>1.10.03</t>
  </si>
  <si>
    <t>T426</t>
  </si>
  <si>
    <t>勝利名星</t>
  </si>
  <si>
    <t>1.10.42</t>
  </si>
  <si>
    <t>施偉強</t>
  </si>
  <si>
    <t>Senro Kisaki</t>
  </si>
  <si>
    <t>勁優秀 2</t>
  </si>
  <si>
    <t>超強快駒 +</t>
  </si>
  <si>
    <t>董事長 +</t>
  </si>
  <si>
    <t>越跑越好 +</t>
  </si>
  <si>
    <t>%</t>
  </si>
  <si>
    <t>Gate</t>
    <phoneticPr fontId="2" type="noConversion"/>
  </si>
  <si>
    <t>Gate Statistics</t>
    <phoneticPr fontId="2" type="noConversion"/>
  </si>
  <si>
    <t>Win Rate</t>
    <phoneticPr fontId="2" type="noConversion"/>
  </si>
  <si>
    <t>Q Rate</t>
    <phoneticPr fontId="2" type="noConversion"/>
  </si>
  <si>
    <t>Place Rate</t>
    <phoneticPr fontId="2" type="noConversion"/>
  </si>
  <si>
    <t>URL;http://racing.hkjc.com/racing/Info/Meeting/RaceCard/Chinese/Local/20161019/HV/1</t>
  </si>
  <si>
    <t>2/2/9/2/9/4</t>
  </si>
  <si>
    <t>N166</t>
  </si>
  <si>
    <t>野外桃源</t>
  </si>
  <si>
    <t>0.57.85</t>
  </si>
  <si>
    <t>CP/XB/TT</t>
  </si>
  <si>
    <t>利子厚</t>
  </si>
  <si>
    <t>Pyjamas</t>
  </si>
  <si>
    <t>12/3/10/5/7/9</t>
  </si>
  <si>
    <t>T289</t>
  </si>
  <si>
    <t>金飯碗</t>
  </si>
  <si>
    <t>0.57.86</t>
  </si>
  <si>
    <t>B-</t>
  </si>
  <si>
    <t>Lalectra</t>
  </si>
  <si>
    <t>9/5/8/5/6/6</t>
  </si>
  <si>
    <t>0.56.85</t>
  </si>
  <si>
    <t>5/9/6/4/2/5</t>
  </si>
  <si>
    <t>S367</t>
  </si>
  <si>
    <t>飛霞</t>
  </si>
  <si>
    <t>0.57.51</t>
  </si>
  <si>
    <t>李本智先生及夫人</t>
  </si>
  <si>
    <t>Silken Song</t>
  </si>
  <si>
    <t>3/10/8/6/8/1</t>
  </si>
  <si>
    <t>S032</t>
  </si>
  <si>
    <t>喜威威</t>
  </si>
  <si>
    <t>PC/TT</t>
  </si>
  <si>
    <t>誠真會團體</t>
  </si>
  <si>
    <t>Curbyourenthusiasm</t>
  </si>
  <si>
    <t>12/2/6/9/14/12</t>
  </si>
  <si>
    <t>T060</t>
  </si>
  <si>
    <t>東韻威威</t>
  </si>
  <si>
    <t>曾向東</t>
  </si>
  <si>
    <t>Any Suggestion</t>
  </si>
  <si>
    <t>Court Ballet</t>
  </si>
  <si>
    <t>11/9/12/10/13/12</t>
  </si>
  <si>
    <t>T420</t>
  </si>
  <si>
    <t>合一</t>
  </si>
  <si>
    <t>0.59.44</t>
  </si>
  <si>
    <t>趙耀年</t>
  </si>
  <si>
    <t>Brackenbury</t>
  </si>
  <si>
    <t>Super Sovereign</t>
  </si>
  <si>
    <t>14/13/6/8/9/12</t>
  </si>
  <si>
    <t>V067</t>
  </si>
  <si>
    <t>有關係</t>
  </si>
  <si>
    <t>0.58.83</t>
  </si>
  <si>
    <t>XB-/CP1</t>
  </si>
  <si>
    <t>有盈賽馬團體</t>
  </si>
  <si>
    <t>O'Lonhro</t>
  </si>
  <si>
    <t>Zero And Over</t>
  </si>
  <si>
    <t>2/9/6/7/3/9</t>
  </si>
  <si>
    <t>S413</t>
  </si>
  <si>
    <t>你同我定</t>
  </si>
  <si>
    <t>0.57.76</t>
  </si>
  <si>
    <t>B/H</t>
  </si>
  <si>
    <t>李文賢</t>
  </si>
  <si>
    <t>Count Dubois</t>
  </si>
  <si>
    <t>Akilah</t>
  </si>
  <si>
    <t>11/11/11/10/5/12</t>
  </si>
  <si>
    <t>T319</t>
  </si>
  <si>
    <t>寶成駿星</t>
  </si>
  <si>
    <t>0.57.68</t>
  </si>
  <si>
    <t>V-/B2/H2</t>
  </si>
  <si>
    <t>蕭澤偉、蕭煒忠與蕭詠堅</t>
  </si>
  <si>
    <t>Windsor Walk</t>
  </si>
  <si>
    <t>10/9/10/11/8/9</t>
  </si>
  <si>
    <t>T166</t>
  </si>
  <si>
    <t>佳景名駒</t>
  </si>
  <si>
    <t>0.58.98</t>
  </si>
  <si>
    <t>佳景團體</t>
  </si>
  <si>
    <t>Astronomer Royal</t>
  </si>
  <si>
    <t>Camomile</t>
  </si>
  <si>
    <t>9/9/5/9/13/12</t>
  </si>
  <si>
    <t>T356</t>
  </si>
  <si>
    <t>衝鋒友</t>
  </si>
  <si>
    <t>0.58.33</t>
  </si>
  <si>
    <t>B/XB/TT</t>
  </si>
  <si>
    <t>新至尊團體</t>
  </si>
  <si>
    <t>Zugat</t>
  </si>
  <si>
    <t>URL;http://racing.hkjc.com/racing/Info/Meeting/RaceCard/Chinese/Local/20161019/HV/2</t>
  </si>
  <si>
    <t>5/12/11/12/10/14</t>
  </si>
  <si>
    <t>P128</t>
  </si>
  <si>
    <t>皇龍大師</t>
  </si>
  <si>
    <t>1.50.02</t>
  </si>
  <si>
    <t>P</t>
  </si>
  <si>
    <t>區啟光</t>
  </si>
  <si>
    <t>Kadesa</t>
  </si>
  <si>
    <t>8/2/1/5/5/8</t>
  </si>
  <si>
    <t>S423</t>
  </si>
  <si>
    <t>鼓浪飛星</t>
  </si>
  <si>
    <t>1.50.21</t>
  </si>
  <si>
    <t>B-/XB/V1</t>
  </si>
  <si>
    <t>吳濤</t>
  </si>
  <si>
    <t>Red Hot Mama</t>
  </si>
  <si>
    <t>5/9/8/9/10/4</t>
  </si>
  <si>
    <t>8/11/5/9/8/11</t>
  </si>
  <si>
    <t>1.52.33</t>
  </si>
  <si>
    <t>1/5/2/3/8/7</t>
  </si>
  <si>
    <t>P088</t>
  </si>
  <si>
    <t>大寶庫</t>
  </si>
  <si>
    <t>1.49.93</t>
  </si>
  <si>
    <t>XB/TT</t>
  </si>
  <si>
    <t>鄭家純</t>
  </si>
  <si>
    <t>Jeremy</t>
  </si>
  <si>
    <t>Next Round</t>
  </si>
  <si>
    <t>5/7/8/7/9/11</t>
  </si>
  <si>
    <t>T413</t>
  </si>
  <si>
    <t>識飛</t>
  </si>
  <si>
    <t>SR/TT</t>
  </si>
  <si>
    <t>吳偉鴻與鄧慶治</t>
  </si>
  <si>
    <t>Kodiac</t>
  </si>
  <si>
    <t>Dancing Prize</t>
  </si>
  <si>
    <t>1/2/8/3/13/10</t>
  </si>
  <si>
    <t>7/4/1/7/11/6</t>
  </si>
  <si>
    <t>N192</t>
  </si>
  <si>
    <t>彩利</t>
  </si>
  <si>
    <t>1.50.74</t>
  </si>
  <si>
    <t>李開賢先生及夫人</t>
  </si>
  <si>
    <t>Mizzen Mast</t>
  </si>
  <si>
    <t>Quiet Maria</t>
  </si>
  <si>
    <t>13/7/8/11/7/10</t>
  </si>
  <si>
    <t>T261</t>
  </si>
  <si>
    <t>我是高手</t>
  </si>
  <si>
    <t>1.51.60</t>
  </si>
  <si>
    <t>吳豐盛與凌兆銘</t>
  </si>
  <si>
    <t>5/12/6/9/11/11</t>
  </si>
  <si>
    <t>P415</t>
  </si>
  <si>
    <t>永常勝</t>
  </si>
  <si>
    <t>1.51.22</t>
  </si>
  <si>
    <t>劉志強、謝邦荣與張曉順</t>
  </si>
  <si>
    <t>Rakti</t>
  </si>
  <si>
    <t>Octangle</t>
  </si>
  <si>
    <t>1/11/5/2/2/2</t>
  </si>
  <si>
    <t>S050</t>
  </si>
  <si>
    <t>威旺財</t>
  </si>
  <si>
    <t>P-</t>
  </si>
  <si>
    <t>郭志桁</t>
  </si>
  <si>
    <t>Freedom</t>
  </si>
  <si>
    <t>11/12/13/4/6/8</t>
  </si>
  <si>
    <t>B-/V2/TT</t>
  </si>
  <si>
    <t>URL;http://racing.hkjc.com/racing/Info/Meeting/RaceCard/Chinese/Local/20161019/HV/3</t>
  </si>
  <si>
    <t>4/1/3/4/6/10</t>
  </si>
  <si>
    <t>P388</t>
  </si>
  <si>
    <t>特務飛龍</t>
  </si>
  <si>
    <t>1.09.86</t>
  </si>
  <si>
    <t>Sakhee's Secret</t>
  </si>
  <si>
    <t>Jan Valachi</t>
  </si>
  <si>
    <t>6/9/13/12/10/6</t>
  </si>
  <si>
    <t>11/4/4/5/7/12</t>
  </si>
  <si>
    <t>1.12.27</t>
  </si>
  <si>
    <t>6/7/14/12/10/11</t>
  </si>
  <si>
    <t>V081</t>
  </si>
  <si>
    <t>勁有波幅</t>
  </si>
  <si>
    <t>1.11.35</t>
  </si>
  <si>
    <t>CP/TT-</t>
  </si>
  <si>
    <t>傅果權</t>
  </si>
  <si>
    <t>Star Witness</t>
  </si>
  <si>
    <t>Strikeline</t>
  </si>
  <si>
    <t>11/10/4/7/8/2</t>
  </si>
  <si>
    <t>T081</t>
  </si>
  <si>
    <t>現代財星</t>
  </si>
  <si>
    <t>1.10.40</t>
  </si>
  <si>
    <t>P-/XB</t>
  </si>
  <si>
    <t>存活團體</t>
  </si>
  <si>
    <t>Darci Brahma</t>
  </si>
  <si>
    <t>Showileo</t>
  </si>
  <si>
    <t>V317</t>
  </si>
  <si>
    <t>魔幻神駿</t>
  </si>
  <si>
    <t>Selwan</t>
  </si>
  <si>
    <t>12/7/5/7/9/6</t>
  </si>
  <si>
    <t>1.11.41</t>
  </si>
  <si>
    <t>6/5/7/5/6/6</t>
  </si>
  <si>
    <t>T300</t>
  </si>
  <si>
    <t>劍凌雲</t>
  </si>
  <si>
    <t>1.11.33</t>
  </si>
  <si>
    <t>凌志昌與葉思貝</t>
  </si>
  <si>
    <t>Sebring</t>
  </si>
  <si>
    <t>Will Fly</t>
  </si>
  <si>
    <t>1/3/11/5/10/12</t>
  </si>
  <si>
    <t>S305</t>
  </si>
  <si>
    <t>明多多</t>
  </si>
  <si>
    <t>蕭志成</t>
  </si>
  <si>
    <t>Catalina Lady</t>
  </si>
  <si>
    <t>3/11/5/5/8/4</t>
  </si>
  <si>
    <t>H-/V1/TT</t>
  </si>
  <si>
    <t>4/12/6/8/5/10</t>
  </si>
  <si>
    <t>1.11.71</t>
  </si>
  <si>
    <t>11/12/4/4/5/2</t>
  </si>
  <si>
    <t>URL;http://racing.hkjc.com/racing/Info/Meeting/RaceCard/Chinese/Local/20161019/HV/4</t>
  </si>
  <si>
    <t>8/3/4/3/4/2</t>
  </si>
  <si>
    <t>M199</t>
  </si>
  <si>
    <t>至尊飛星</t>
  </si>
  <si>
    <t>1.10.04</t>
  </si>
  <si>
    <t>10/11 苗禮德練馬師賽馬團體</t>
  </si>
  <si>
    <t>Footstepsinthesand</t>
  </si>
  <si>
    <t>Kingsridge</t>
  </si>
  <si>
    <t>6/1/2/2/7/2</t>
  </si>
  <si>
    <t>V262</t>
  </si>
  <si>
    <t>電子福將</t>
  </si>
  <si>
    <t>嚴玉麟先生及夫人、嚴子杰與嚴紀雯</t>
  </si>
  <si>
    <t>Zariz</t>
  </si>
  <si>
    <t>Ponder</t>
  </si>
  <si>
    <t>6/4/3/13/1/6</t>
  </si>
  <si>
    <t>1.10.86</t>
  </si>
  <si>
    <t>9/8/1/13/8/9</t>
  </si>
  <si>
    <t>P205</t>
  </si>
  <si>
    <t>金巴裡好</t>
  </si>
  <si>
    <t>金巴裡團體</t>
  </si>
  <si>
    <t>One Cool Cat</t>
  </si>
  <si>
    <t>Down View</t>
  </si>
  <si>
    <t>2/7/4/12/6/4</t>
  </si>
  <si>
    <t>T207</t>
  </si>
  <si>
    <t>中華壹號</t>
  </si>
  <si>
    <t>1.10.53</t>
  </si>
  <si>
    <t>趙君之</t>
  </si>
  <si>
    <t>Lucky Norwegian</t>
  </si>
  <si>
    <t>V143</t>
  </si>
  <si>
    <t>勁皇子</t>
  </si>
  <si>
    <t>1.11.49</t>
  </si>
  <si>
    <t>伍嘉璇與Gregory James Holmes</t>
  </si>
  <si>
    <t>Northern Meteor</t>
  </si>
  <si>
    <t>Kiss 'N Chase</t>
  </si>
  <si>
    <t>11/9/6/5/5/3</t>
  </si>
  <si>
    <t>N348</t>
  </si>
  <si>
    <t>喜利高</t>
  </si>
  <si>
    <t>蔡業良與蔡方漢美</t>
  </si>
  <si>
    <t>Malibu Moon</t>
  </si>
  <si>
    <t>Pink Champagne</t>
  </si>
  <si>
    <t>4/8/7/8/5/9</t>
  </si>
  <si>
    <t>10/9/12/12/4/7</t>
  </si>
  <si>
    <t>T027</t>
  </si>
  <si>
    <t>保羅威威</t>
  </si>
  <si>
    <t>1.10.98</t>
  </si>
  <si>
    <t>男保羅校友團體</t>
  </si>
  <si>
    <t>Gold Centre</t>
  </si>
  <si>
    <t>Pines Princess</t>
  </si>
  <si>
    <t>10/11/3/4/3/1</t>
  </si>
  <si>
    <t>4/3/10/3/3/4</t>
  </si>
  <si>
    <t>S256</t>
  </si>
  <si>
    <t>贏錢之道</t>
  </si>
  <si>
    <t>1.10.67</t>
  </si>
  <si>
    <t>金鎗團體</t>
  </si>
  <si>
    <t>Intense Focus</t>
  </si>
  <si>
    <t>Inourthoughts</t>
  </si>
  <si>
    <t>URL;http://racing.hkjc.com/racing/Info/Meeting/RaceCard/Chinese/Local/20161019/HV/5</t>
  </si>
  <si>
    <t>3/9/11/14/1/6</t>
  </si>
  <si>
    <t>T354</t>
  </si>
  <si>
    <t>步步領先</t>
  </si>
  <si>
    <t>蔡國偉</t>
  </si>
  <si>
    <t>Mosi Au Tunya</t>
  </si>
  <si>
    <t>1/1/1/9/4/6</t>
  </si>
  <si>
    <t>T379</t>
  </si>
  <si>
    <t>發明小子</t>
  </si>
  <si>
    <t>1.39.49</t>
  </si>
  <si>
    <t>杜振源</t>
  </si>
  <si>
    <t>Don Eduardo</t>
  </si>
  <si>
    <t>Magic Tryst</t>
  </si>
  <si>
    <t>V246</t>
  </si>
  <si>
    <t>達羅素</t>
  </si>
  <si>
    <t>蕭百君</t>
  </si>
  <si>
    <t>Lilbourne Lad</t>
  </si>
  <si>
    <t>Nisriyna</t>
  </si>
  <si>
    <t>9/5/3/2/2/4</t>
  </si>
  <si>
    <t>S247</t>
  </si>
  <si>
    <t>華美之寶</t>
  </si>
  <si>
    <t>1.41.34</t>
  </si>
  <si>
    <t>劉英華先生及夫人</t>
  </si>
  <si>
    <t>Amadeus Wolf</t>
  </si>
  <si>
    <t>Pearls Of Wisdom</t>
  </si>
  <si>
    <t>9/5/4/6/8/5</t>
  </si>
  <si>
    <t>P119</t>
  </si>
  <si>
    <t>贏男</t>
  </si>
  <si>
    <t>譚松德</t>
  </si>
  <si>
    <t>Notnowcato</t>
  </si>
  <si>
    <t>Tahara</t>
  </si>
  <si>
    <t>7/1/4/7/6/3</t>
  </si>
  <si>
    <t>3/11/5/1/11/7</t>
  </si>
  <si>
    <t>T421</t>
  </si>
  <si>
    <t>喜得福</t>
  </si>
  <si>
    <t>易劉瑛琳與易國良</t>
  </si>
  <si>
    <t>Bushranger</t>
  </si>
  <si>
    <t>Anfield</t>
  </si>
  <si>
    <t>10/6/12/5/8/6</t>
  </si>
  <si>
    <t>11/3/12/10/11/4</t>
  </si>
  <si>
    <t>1.42.42</t>
  </si>
  <si>
    <t>8/2/3/3/6/6</t>
  </si>
  <si>
    <t>V089</t>
  </si>
  <si>
    <t>甜統</t>
  </si>
  <si>
    <t>黃展亮</t>
  </si>
  <si>
    <t>More Than Ready</t>
  </si>
  <si>
    <t>Holidazzle</t>
  </si>
  <si>
    <t>URL;http://racing.hkjc.com/racing/Info/Meeting/RaceCard/Chinese/Local/20161019/HV/6</t>
  </si>
  <si>
    <t>3/2/2/12/10/12</t>
  </si>
  <si>
    <t>S073</t>
  </si>
  <si>
    <t>盈豐駿駒</t>
  </si>
  <si>
    <t>1.40.34</t>
  </si>
  <si>
    <t>P-/CP2</t>
  </si>
  <si>
    <t>殷劍波</t>
  </si>
  <si>
    <t>Refuse To Bend</t>
  </si>
  <si>
    <t>Doregan</t>
  </si>
  <si>
    <t>7/7/4/1/6</t>
  </si>
  <si>
    <t>V205</t>
  </si>
  <si>
    <t>善者</t>
  </si>
  <si>
    <t>香港會賽馬團體</t>
  </si>
  <si>
    <t>Zizou</t>
  </si>
  <si>
    <t>Mokaraba</t>
  </si>
  <si>
    <t>3/7/11/8/2/5</t>
  </si>
  <si>
    <t>5/5/2/1/3/6</t>
  </si>
  <si>
    <t>8/5/7/13/8/6</t>
  </si>
  <si>
    <t>N284</t>
  </si>
  <si>
    <t>萬眾期待</t>
  </si>
  <si>
    <t>1.39.76</t>
  </si>
  <si>
    <t>王松斌、王嘉威、王仲威與王韻詩</t>
  </si>
  <si>
    <t>Oratorio</t>
  </si>
  <si>
    <t>I'm A Thunder</t>
  </si>
  <si>
    <t>2/7/9/7/10/9</t>
  </si>
  <si>
    <t>T383</t>
  </si>
  <si>
    <t>隨時候命</t>
  </si>
  <si>
    <t>1.41.54</t>
  </si>
  <si>
    <t>何子文、吳政泓、周錫明與許樹棠</t>
  </si>
  <si>
    <t>Align</t>
  </si>
  <si>
    <t>Frankish</t>
  </si>
  <si>
    <t>11/11/14/5/5/5</t>
  </si>
  <si>
    <t>1.44.08</t>
  </si>
  <si>
    <t>3/6/1/2/6/6</t>
  </si>
  <si>
    <t>T401</t>
  </si>
  <si>
    <t>駿馬翹楚</t>
  </si>
  <si>
    <t>李逢泰</t>
  </si>
  <si>
    <t>Monte Karlo</t>
  </si>
  <si>
    <t>6/9/7/5/12/5</t>
  </si>
  <si>
    <t>12/6/7/10/8/8</t>
  </si>
  <si>
    <t>P021</t>
  </si>
  <si>
    <t>金錢路</t>
  </si>
  <si>
    <t>1.41.02</t>
  </si>
  <si>
    <t>馮懿卿</t>
  </si>
  <si>
    <t>Sursum Corda</t>
  </si>
  <si>
    <t>11/10/10/3/9/7</t>
  </si>
  <si>
    <t>N294</t>
  </si>
  <si>
    <t>升力</t>
  </si>
  <si>
    <t>1.40.09</t>
  </si>
  <si>
    <t>張樹德</t>
  </si>
  <si>
    <t>Golden Lake</t>
  </si>
  <si>
    <t>Western Jade</t>
  </si>
  <si>
    <t>12/9/6/13/11/12</t>
  </si>
  <si>
    <t>S300</t>
  </si>
  <si>
    <t>相中有你</t>
  </si>
  <si>
    <t>1.43.29</t>
  </si>
  <si>
    <t>朱鴻鈞</t>
  </si>
  <si>
    <t>Battle Paint</t>
  </si>
  <si>
    <t>Triage</t>
  </si>
  <si>
    <t>URL;http://racing.hkjc.com/racing/Info/Meeting/RaceCard/Chinese/Local/20161019/HV/7</t>
  </si>
  <si>
    <t>1/4/7/2/5/6</t>
  </si>
  <si>
    <t>1.11.06</t>
  </si>
  <si>
    <t>9/10/6/2/9/3</t>
  </si>
  <si>
    <t>12/14/12/14/14/-</t>
  </si>
  <si>
    <t>T423</t>
  </si>
  <si>
    <t>百威特務</t>
  </si>
  <si>
    <t>吳世振先生及夫人、吳洛汶與吳景文醫生</t>
  </si>
  <si>
    <t>Lookin At Lucky</t>
  </si>
  <si>
    <t>Rhode Island Red</t>
  </si>
  <si>
    <t>9/12/10/2/4/2</t>
  </si>
  <si>
    <t>N436</t>
  </si>
  <si>
    <t>大寶藏</t>
  </si>
  <si>
    <t>1.09.71</t>
  </si>
  <si>
    <t>B2</t>
  </si>
  <si>
    <t>Shadow Ray</t>
  </si>
  <si>
    <t>14/12/12/3/6/1</t>
  </si>
  <si>
    <t>S276</t>
  </si>
  <si>
    <t>好愉快</t>
  </si>
  <si>
    <t>好愉快團體</t>
  </si>
  <si>
    <t>Sail From Seattle</t>
  </si>
  <si>
    <t>Gardener's Delight</t>
  </si>
  <si>
    <t>4/7/9/7/11/2</t>
  </si>
  <si>
    <t>P099</t>
  </si>
  <si>
    <t>勇創潮流</t>
  </si>
  <si>
    <t>1.10.51</t>
  </si>
  <si>
    <t>林蔚雄</t>
  </si>
  <si>
    <t>Gems Of Araby</t>
  </si>
  <si>
    <t>8/10/8/13/10/3</t>
  </si>
  <si>
    <t>7/12/9/8/5/11</t>
  </si>
  <si>
    <t>P287</t>
  </si>
  <si>
    <t>愛寶</t>
  </si>
  <si>
    <t>1.10.08</t>
  </si>
  <si>
    <t>連浩芬先生及夫人</t>
  </si>
  <si>
    <t>Pas de Deux</t>
  </si>
  <si>
    <t>5/4/6/5/1/5</t>
  </si>
  <si>
    <t>T341</t>
  </si>
  <si>
    <t>魅力知心</t>
  </si>
  <si>
    <t>1.10.15</t>
  </si>
  <si>
    <t>鄧詠琪</t>
  </si>
  <si>
    <t>Laurinel Princess</t>
  </si>
  <si>
    <t>3/2/1/4/7/2</t>
  </si>
  <si>
    <t>14/11/8/7</t>
  </si>
  <si>
    <t>V226</t>
  </si>
  <si>
    <t>必搏</t>
  </si>
  <si>
    <t>1.10.73</t>
  </si>
  <si>
    <t>鍾建書</t>
  </si>
  <si>
    <t>Swan Lake</t>
  </si>
  <si>
    <t>1.11.55</t>
  </si>
  <si>
    <t>URL;http://racing.hkjc.com/racing/Info/Meeting/RaceCard/Chinese/Local/20161019/HV/8</t>
  </si>
  <si>
    <t>2/1/5/12/4/1</t>
  </si>
  <si>
    <t>T262</t>
  </si>
  <si>
    <t>恆駿寶駒</t>
  </si>
  <si>
    <t>CP/H</t>
  </si>
  <si>
    <t>黃月成與黃斯豪</t>
  </si>
  <si>
    <t>Postponed</t>
  </si>
  <si>
    <t>Bislieri</t>
  </si>
  <si>
    <t>3/4/2/2/6/6</t>
  </si>
  <si>
    <t>S172</t>
  </si>
  <si>
    <t>中華寶貝</t>
  </si>
  <si>
    <t>1.09.56</t>
  </si>
  <si>
    <t>陳志新</t>
  </si>
  <si>
    <t>Testa Rossa</t>
  </si>
  <si>
    <t>Lindalay</t>
  </si>
  <si>
    <t>2/11/7/4/6/11</t>
  </si>
  <si>
    <t>1.11.14</t>
  </si>
  <si>
    <t>1/9/6/8/6/4</t>
  </si>
  <si>
    <t>T196</t>
  </si>
  <si>
    <t>舖舖旺</t>
  </si>
  <si>
    <t>1.10.09</t>
  </si>
  <si>
    <t>盧展豪、郭應龍與黃子華</t>
  </si>
  <si>
    <t>Star Studded</t>
  </si>
  <si>
    <t>5/1/7/5/6/8</t>
  </si>
  <si>
    <t>S044</t>
  </si>
  <si>
    <t>一馬當先</t>
  </si>
  <si>
    <t>姜禮彪與翁公豪</t>
  </si>
  <si>
    <t>Mulensky</t>
  </si>
  <si>
    <t>11/14/12/1/8/5</t>
  </si>
  <si>
    <t>S348</t>
  </si>
  <si>
    <t>駿步蹄聲</t>
  </si>
  <si>
    <t>青鬥士團體</t>
  </si>
  <si>
    <t>Cannikin</t>
  </si>
  <si>
    <t>V362</t>
  </si>
  <si>
    <t>四千金</t>
  </si>
  <si>
    <t>1.11.04</t>
  </si>
  <si>
    <t>Jean-Paul Cuvelier</t>
  </si>
  <si>
    <t>Whinewomen'N'song</t>
  </si>
  <si>
    <t>10/10/14/12/14/10</t>
  </si>
  <si>
    <t>V247</t>
  </si>
  <si>
    <t>欣喜欣喜</t>
  </si>
  <si>
    <t>Syed Pervez Hussain</t>
  </si>
  <si>
    <t>Armanda</t>
  </si>
  <si>
    <t>6/13/5/5/9/6</t>
  </si>
  <si>
    <t>12/13/1/9/6/12</t>
  </si>
  <si>
    <t>7/6/7/12/9/7</t>
  </si>
  <si>
    <t>N111</t>
  </si>
  <si>
    <t>奪目商人</t>
  </si>
  <si>
    <t>B/H/XB</t>
  </si>
  <si>
    <t>洪逸揮</t>
  </si>
  <si>
    <t>Speightstown</t>
  </si>
  <si>
    <t>Kenza</t>
  </si>
  <si>
    <t>6/9/9/4/12</t>
  </si>
  <si>
    <t>T347</t>
  </si>
  <si>
    <t>美好家園</t>
  </si>
  <si>
    <t>1.11.24</t>
  </si>
  <si>
    <t>蔡曉鋒</t>
  </si>
  <si>
    <t>On Focus</t>
  </si>
  <si>
    <t>URL;http://racing.hkjc.com/racing/Info/Meeting/RaceCard/Chinese/Local/20161019/HV/9</t>
  </si>
  <si>
    <t>URL;http://racing.hkjc.com/racing/Info/Meeting/RaceCard/Chinese/Local/20161019/HV/10</t>
  </si>
  <si>
    <t>URL;http://racing.hkjc.com/racing/Info/Meeting/RaceCard/Chinese/Local/20161019/HV/11</t>
  </si>
  <si>
    <t>1000米</t>
  </si>
  <si>
    <t>皇者拍檔 +</t>
  </si>
  <si>
    <t>隨時候命 +</t>
  </si>
  <si>
    <t>舖舖旺 2</t>
  </si>
  <si>
    <t>識飛 +</t>
  </si>
  <si>
    <t>魔幻神駿 *</t>
  </si>
  <si>
    <t>發明小子 +</t>
  </si>
  <si>
    <t>百威特務 * 2</t>
  </si>
  <si>
    <t>皇龍大師 *</t>
  </si>
  <si>
    <t>敬無極 +</t>
  </si>
  <si>
    <t>喜利高 + 2</t>
  </si>
  <si>
    <t>愛寶 2</t>
  </si>
  <si>
    <t>鼓浪飛星 +</t>
  </si>
  <si>
    <t>盈豐駿駒 +</t>
  </si>
  <si>
    <t>甜統 +</t>
  </si>
  <si>
    <t>駿馬翹楚 +</t>
  </si>
  <si>
    <t>無限欣賞 +</t>
  </si>
  <si>
    <t>華美之寶 *</t>
  </si>
  <si>
    <t>幸運神駒 +</t>
  </si>
  <si>
    <t>金飯碗 +</t>
  </si>
  <si>
    <t>有關係 +</t>
  </si>
  <si>
    <t>開心健康 +</t>
  </si>
  <si>
    <t>必搏 2</t>
  </si>
  <si>
    <t>大寶庫 +</t>
  </si>
  <si>
    <t>相中有你 +</t>
  </si>
  <si>
    <t>寶成駿星 +</t>
  </si>
  <si>
    <t>萬眾期待 *</t>
  </si>
  <si>
    <t>特務飛龍 +</t>
  </si>
  <si>
    <t>電子福將 + 2</t>
  </si>
  <si>
    <t>至尊飛星 +</t>
  </si>
  <si>
    <t>金錢路 +</t>
  </si>
  <si>
    <t>欣喜欣喜 2</t>
  </si>
  <si>
    <t>飛霞 +</t>
  </si>
  <si>
    <t>達羅素 +</t>
  </si>
  <si>
    <t>勁有波幅 +</t>
  </si>
  <si>
    <t>喜盈盈 + 2</t>
  </si>
  <si>
    <t>你同我定 +</t>
  </si>
  <si>
    <t>升力 +</t>
  </si>
  <si>
    <t>合一 +</t>
  </si>
  <si>
    <t>衝鋒友 2</t>
  </si>
  <si>
    <t>永常勝 *</t>
  </si>
  <si>
    <t>越駿寶 +</t>
  </si>
  <si>
    <t>野孩子 +</t>
  </si>
  <si>
    <t>中華壹號 2</t>
  </si>
  <si>
    <t>步步領先 2</t>
  </si>
  <si>
    <t>嘉應小子 3</t>
  </si>
  <si>
    <t>奪目商人 2</t>
  </si>
  <si>
    <t>東韻威威 +</t>
  </si>
  <si>
    <t>善者 +</t>
  </si>
  <si>
    <t>聖驛善 +</t>
  </si>
  <si>
    <t>佳景名駒 2</t>
  </si>
  <si>
    <t>彩利 +</t>
  </si>
  <si>
    <t>金巴裡好 *</t>
  </si>
  <si>
    <t>駿步蹄聲 2</t>
  </si>
  <si>
    <t>喜威威 +</t>
  </si>
  <si>
    <t>金威利 +</t>
  </si>
  <si>
    <t>13/6/12</t>
  </si>
  <si>
    <t>10/12</t>
  </si>
  <si>
    <t>8/8</t>
  </si>
  <si>
    <t>4/8/13</t>
  </si>
  <si>
    <t>出賽</t>
  </si>
  <si>
    <t>次數</t>
  </si>
  <si>
    <t>殿</t>
  </si>
  <si>
    <t>勝出率</t>
  </si>
  <si>
    <t>入Q率</t>
  </si>
  <si>
    <t>上名率</t>
  </si>
  <si>
    <t>前4名</t>
  </si>
  <si>
    <t>率%</t>
  </si>
  <si>
    <t>大熱門 :</t>
  </si>
  <si>
    <t xml:space="preserve">  勝出率 21%  上名率 57%  前4名率 64%</t>
  </si>
  <si>
    <t xml:space="preserve">  勝出率 50%  上名率 57%  前4名率 64%</t>
  </si>
  <si>
    <t xml:space="preserve">  勝出率 38%  上名率 67%  前4名率 70%</t>
  </si>
  <si>
    <t xml:space="preserve">  勝出率 31%  上名率 51%  前4名率 60%</t>
  </si>
  <si>
    <t>Stable</t>
    <phoneticPr fontId="2" type="noConversion"/>
  </si>
  <si>
    <t>Q Rate</t>
    <phoneticPr fontId="2" type="noConversion"/>
  </si>
  <si>
    <t>Stable Rank</t>
    <phoneticPr fontId="2" type="noConversion"/>
  </si>
  <si>
    <t>http://racing.hkjc.com/racing/info/meeting/JkcStat/chinese/Local</t>
  </si>
  <si>
    <t>編號</t>
  </si>
  <si>
    <t>近十個賽事日統計</t>
  </si>
  <si>
    <t>季度統計</t>
  </si>
  <si>
    <t>近十個賽事日積分 (左為最近)</t>
  </si>
  <si>
    <t>平均</t>
  </si>
  <si>
    <t>賽事日</t>
  </si>
  <si>
    <t>積分</t>
  </si>
  <si>
    <t>平均賽事日積分</t>
  </si>
  <si>
    <t>今季</t>
  </si>
  <si>
    <t>15/16 季度</t>
  </si>
  <si>
    <t>蔣嘉琦</t>
  </si>
  <si>
    <t>其他騎師</t>
  </si>
  <si>
    <t>黃皓楠</t>
  </si>
  <si>
    <t>16/10</t>
  </si>
  <si>
    <t>12/10</t>
  </si>
  <si>
    <t>8/10</t>
  </si>
  <si>
    <t>5/10</t>
  </si>
  <si>
    <t>1/10</t>
  </si>
  <si>
    <t>28/9</t>
  </si>
  <si>
    <t>25/9</t>
  </si>
  <si>
    <t>21/9</t>
  </si>
  <si>
    <t>18/9</t>
  </si>
  <si>
    <t>11/9</t>
  </si>
  <si>
    <t>Jkc</t>
    <phoneticPr fontId="2" type="noConversion"/>
  </si>
  <si>
    <t>Total</t>
    <phoneticPr fontId="2" type="noConversion"/>
  </si>
  <si>
    <t>Odds</t>
    <phoneticPr fontId="2" type="noConversion"/>
  </si>
  <si>
    <t>~20% deficit</t>
    <phoneticPr fontId="2" type="noConversion"/>
  </si>
  <si>
    <t>3-day avg</t>
    <phoneticPr fontId="2" type="noConversion"/>
  </si>
  <si>
    <t>Race</t>
    <phoneticPr fontId="2" type="noConversion"/>
  </si>
  <si>
    <t>Total Score</t>
    <phoneticPr fontId="2" type="noConversion"/>
  </si>
  <si>
    <t>3-day avg per race</t>
    <phoneticPr fontId="2" type="noConversion"/>
  </si>
  <si>
    <t>Power Index 2</t>
    <phoneticPr fontId="2" type="noConversion"/>
  </si>
  <si>
    <t>Horse Age</t>
    <phoneticPr fontId="3" type="noConversion"/>
  </si>
  <si>
    <t>Adjusted Best Time</t>
    <phoneticPr fontId="2" type="noConversion"/>
  </si>
  <si>
    <t>Best Time (string)</t>
    <phoneticPr fontId="3" type="noConversion"/>
  </si>
  <si>
    <t>Best Time (value, sec)</t>
    <phoneticPr fontId="2" type="noConversion"/>
  </si>
  <si>
    <t>Best Time (+avg)</t>
    <phoneticPr fontId="2" type="noConversion"/>
  </si>
  <si>
    <t>Speed Rank</t>
    <phoneticPr fontId="2" type="noConversion"/>
  </si>
  <si>
    <t>PWR IDX 2 Prob</t>
    <phoneticPr fontId="2" type="noConversion"/>
  </si>
  <si>
    <t>TrumpBenefit (+-0.2)</t>
    <phoneticPr fontId="2" type="noConversion"/>
  </si>
  <si>
    <t>No. of Horse</t>
    <phoneticPr fontId="2" type="noConversion"/>
  </si>
  <si>
    <t>Speed Prob</t>
    <phoneticPr fontId="2" type="noConversion"/>
  </si>
  <si>
    <t>Dev_Avg</t>
    <phoneticPr fontId="2" type="noConversion"/>
  </si>
  <si>
    <t>Dev_min</t>
    <phoneticPr fontId="2" type="noConversion"/>
  </si>
  <si>
    <t>Gate Win Rate</t>
    <phoneticPr fontId="2" type="noConversion"/>
  </si>
  <si>
    <t>special performance</t>
    <phoneticPr fontId="2" type="noConversion"/>
  </si>
  <si>
    <t>欣喜欣喜</t>
    <phoneticPr fontId="2" type="noConversion"/>
  </si>
  <si>
    <t>class</t>
    <phoneticPr fontId="2" type="noConversion"/>
  </si>
  <si>
    <t>distance</t>
    <phoneticPr fontId="2" type="noConversion"/>
  </si>
  <si>
    <t>race</t>
    <phoneticPr fontId="2" type="noConversion"/>
  </si>
  <si>
    <t>date</t>
    <phoneticPr fontId="2" type="noConversion"/>
  </si>
  <si>
    <t>horse</t>
    <phoneticPr fontId="2" type="noConversion"/>
  </si>
  <si>
    <t>comment</t>
    <phoneticPr fontId="2" type="noConversion"/>
  </si>
  <si>
    <t>very fast sprint in last 150m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</si>
</sst>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_ "/>
    <numFmt numFmtId="177" formatCode="0,000\ &quot;m&quot;"/>
    <numFmt numFmtId="178" formatCode="0.000"/>
    <numFmt numFmtId="180" formatCode="\-\4\1\5\8"/>
    <numFmt numFmtId="185" formatCode="m&quot;月&quot;d&quot;日&quot;"/>
    <numFmt numFmtId="186" formatCode="0.0%"/>
    <numFmt numFmtId="188" formatCode="0.0000"/>
    <numFmt numFmtId="189" formatCode="0.0"/>
  </numFmts>
  <fonts count="22" x14ac:knownFonts="1">
    <font>
      <sz val="11"/>
      <color theme="1"/>
      <name val="新細明體"/>
      <family val="2"/>
      <charset val="136"/>
      <scheme val="minor"/>
    </font>
    <font>
      <sz val="11"/>
      <color rgb="FF000000"/>
      <name val="Calibri"/>
      <family val="2"/>
    </font>
    <font>
      <sz val="9"/>
      <name val="新細明體"/>
      <family val="2"/>
      <charset val="136"/>
      <scheme val="minor"/>
    </font>
    <font>
      <sz val="9"/>
      <name val="Calibri"/>
      <family val="2"/>
      <charset val="136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sz val="10"/>
      <color theme="1"/>
      <name val="Arial"/>
      <family val="2"/>
    </font>
    <font>
      <b/>
      <i/>
      <sz val="11"/>
      <color theme="0"/>
      <name val="Arial"/>
      <family val="2"/>
    </font>
    <font>
      <i/>
      <sz val="10"/>
      <color theme="1"/>
      <name val="Arial"/>
      <family val="2"/>
    </font>
    <font>
      <b/>
      <i/>
      <sz val="11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charset val="136"/>
    </font>
    <font>
      <sz val="11"/>
      <color theme="1"/>
      <name val="細明體"/>
      <family val="3"/>
      <charset val="136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name val="Arial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新細明體"/>
      <family val="2"/>
      <charset val="136"/>
      <scheme val="minor"/>
    </font>
    <font>
      <sz val="10"/>
      <color rgb="FF0000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3" fillId="0" borderId="0">
      <alignment vertical="center"/>
    </xf>
    <xf numFmtId="9" fontId="20" fillId="0" borderId="0" applyFont="0" applyFill="0" applyBorder="0" applyAlignment="0" applyProtection="0">
      <alignment vertical="center"/>
    </xf>
  </cellStyleXfs>
  <cellXfs count="80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176" fontId="7" fillId="2" borderId="0" xfId="0" applyNumberFormat="1" applyFont="1" applyFill="1" applyAlignment="1">
      <alignment horizontal="center" vertical="center"/>
    </xf>
    <xf numFmtId="177" fontId="4" fillId="3" borderId="0" xfId="0" applyNumberFormat="1" applyFont="1" applyFill="1">
      <alignment vertical="center"/>
    </xf>
    <xf numFmtId="0" fontId="7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5" borderId="0" xfId="0" applyFont="1" applyFill="1" applyAlignment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 wrapText="1"/>
    </xf>
    <xf numFmtId="2" fontId="8" fillId="7" borderId="0" xfId="0" applyNumberFormat="1" applyFont="1" applyFill="1" applyAlignment="1">
      <alignment horizontal="center" vertical="center"/>
    </xf>
    <xf numFmtId="0" fontId="5" fillId="0" borderId="0" xfId="0" applyFont="1" applyAlignment="1">
      <alignment vertical="center" wrapText="1"/>
    </xf>
    <xf numFmtId="0" fontId="9" fillId="2" borderId="0" xfId="0" applyFont="1" applyFill="1" applyAlignment="1">
      <alignment horizontal="center" vertical="center" wrapText="1"/>
    </xf>
    <xf numFmtId="2" fontId="10" fillId="8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178" fontId="10" fillId="0" borderId="0" xfId="0" applyNumberFormat="1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 shrinkToFit="1"/>
    </xf>
    <xf numFmtId="0" fontId="7" fillId="2" borderId="0" xfId="0" applyFont="1" applyFill="1" applyAlignment="1">
      <alignment horizontal="center" vertical="center" wrapText="1"/>
    </xf>
    <xf numFmtId="2" fontId="8" fillId="8" borderId="0" xfId="0" applyNumberFormat="1" applyFont="1" applyFill="1" applyAlignment="1">
      <alignment horizontal="center" vertical="center"/>
    </xf>
    <xf numFmtId="1" fontId="8" fillId="0" borderId="0" xfId="0" applyNumberFormat="1" applyFont="1" applyFill="1" applyAlignment="1">
      <alignment horizontal="center" vertical="center"/>
    </xf>
    <xf numFmtId="1" fontId="8" fillId="8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 wrapText="1"/>
    </xf>
    <xf numFmtId="2" fontId="8" fillId="0" borderId="0" xfId="0" applyNumberFormat="1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 wrapText="1"/>
    </xf>
    <xf numFmtId="178" fontId="8" fillId="10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6" fillId="6" borderId="0" xfId="0" applyFont="1" applyFill="1" applyAlignment="1">
      <alignment horizontal="center" vertical="center" wrapText="1"/>
    </xf>
    <xf numFmtId="176" fontId="8" fillId="0" borderId="0" xfId="0" applyNumberFormat="1" applyFont="1" applyAlignment="1">
      <alignment horizontal="center" vertical="center"/>
    </xf>
    <xf numFmtId="2" fontId="7" fillId="6" borderId="0" xfId="0" applyNumberFormat="1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 wrapText="1"/>
    </xf>
    <xf numFmtId="176" fontId="8" fillId="7" borderId="0" xfId="0" applyNumberFormat="1" applyFont="1" applyFill="1" applyAlignment="1">
      <alignment horizontal="center" vertical="center"/>
    </xf>
    <xf numFmtId="2" fontId="4" fillId="7" borderId="0" xfId="0" applyNumberFormat="1" applyFont="1" applyFill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176" fontId="8" fillId="0" borderId="1" xfId="0" applyNumberFormat="1" applyFont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176" fontId="12" fillId="7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13" fillId="0" borderId="0" xfId="1">
      <alignment vertical="center"/>
    </xf>
    <xf numFmtId="0" fontId="14" fillId="0" borderId="0" xfId="1" applyFont="1">
      <alignment vertical="center"/>
    </xf>
    <xf numFmtId="0" fontId="0" fillId="0" borderId="0" xfId="0" applyFont="1" applyFill="1">
      <alignment vertical="center"/>
    </xf>
    <xf numFmtId="49" fontId="0" fillId="0" borderId="0" xfId="0" applyNumberFormat="1">
      <alignment vertical="center"/>
    </xf>
    <xf numFmtId="2" fontId="8" fillId="11" borderId="0" xfId="0" applyNumberFormat="1" applyFont="1" applyFill="1" applyAlignment="1">
      <alignment horizontal="center" vertical="center"/>
    </xf>
    <xf numFmtId="0" fontId="7" fillId="12" borderId="0" xfId="0" applyFont="1" applyFill="1" applyAlignment="1">
      <alignment horizontal="center" vertical="center" wrapText="1"/>
    </xf>
    <xf numFmtId="2" fontId="15" fillId="12" borderId="0" xfId="0" applyNumberFormat="1" applyFont="1" applyFill="1" applyAlignment="1">
      <alignment horizontal="center" vertical="center"/>
    </xf>
    <xf numFmtId="0" fontId="9" fillId="13" borderId="0" xfId="0" applyFont="1" applyFill="1" applyAlignment="1">
      <alignment horizontal="center" vertical="center" wrapText="1"/>
    </xf>
    <xf numFmtId="2" fontId="16" fillId="13" borderId="0" xfId="0" applyNumberFormat="1" applyFont="1" applyFill="1" applyAlignment="1">
      <alignment horizontal="center" vertical="center"/>
    </xf>
    <xf numFmtId="0" fontId="17" fillId="11" borderId="0" xfId="0" applyFont="1" applyFill="1" applyAlignment="1">
      <alignment horizontal="center" vertical="center" wrapText="1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2" fontId="8" fillId="14" borderId="0" xfId="0" applyNumberFormat="1" applyFont="1" applyFill="1" applyAlignment="1">
      <alignment horizontal="center" vertical="center"/>
    </xf>
    <xf numFmtId="0" fontId="17" fillId="14" borderId="0" xfId="0" applyFont="1" applyFill="1" applyAlignment="1">
      <alignment horizontal="center" vertical="center" wrapText="1"/>
    </xf>
    <xf numFmtId="180" fontId="0" fillId="0" borderId="0" xfId="0" applyNumberFormat="1" applyFont="1" applyFill="1">
      <alignment vertical="center"/>
    </xf>
    <xf numFmtId="180" fontId="0" fillId="0" borderId="0" xfId="0" applyNumberFormat="1">
      <alignment vertical="center"/>
    </xf>
    <xf numFmtId="185" fontId="0" fillId="0" borderId="0" xfId="0" applyNumberFormat="1">
      <alignment vertical="center"/>
    </xf>
    <xf numFmtId="186" fontId="8" fillId="14" borderId="0" xfId="2" applyNumberFormat="1" applyFont="1" applyFill="1" applyAlignment="1">
      <alignment horizontal="center" vertical="center"/>
    </xf>
    <xf numFmtId="0" fontId="17" fillId="15" borderId="0" xfId="0" applyFont="1" applyFill="1" applyAlignment="1">
      <alignment horizontal="center" vertical="center" wrapText="1"/>
    </xf>
    <xf numFmtId="186" fontId="8" fillId="15" borderId="0" xfId="2" applyNumberFormat="1" applyFont="1" applyFill="1" applyAlignment="1">
      <alignment horizontal="center" vertical="center"/>
    </xf>
    <xf numFmtId="0" fontId="8" fillId="15" borderId="0" xfId="2" applyNumberFormat="1" applyFont="1" applyFill="1" applyAlignment="1">
      <alignment horizontal="center" vertical="center"/>
    </xf>
    <xf numFmtId="0" fontId="8" fillId="8" borderId="0" xfId="0" applyNumberFormat="1" applyFont="1" applyFill="1" applyAlignment="1">
      <alignment horizontal="center" vertical="center"/>
    </xf>
    <xf numFmtId="0" fontId="21" fillId="0" borderId="0" xfId="0" applyFont="1">
      <alignment vertical="center"/>
    </xf>
    <xf numFmtId="186" fontId="0" fillId="0" borderId="0" xfId="2" applyNumberFormat="1" applyFont="1">
      <alignment vertical="center"/>
    </xf>
    <xf numFmtId="189" fontId="0" fillId="0" borderId="0" xfId="0" applyNumberFormat="1">
      <alignment vertical="center"/>
    </xf>
    <xf numFmtId="0" fontId="8" fillId="10" borderId="0" xfId="0" applyNumberFormat="1" applyFont="1" applyFill="1" applyAlignment="1">
      <alignment horizontal="center" vertical="center"/>
    </xf>
    <xf numFmtId="178" fontId="5" fillId="0" borderId="0" xfId="0" applyNumberFormat="1" applyFont="1">
      <alignment vertical="center"/>
    </xf>
    <xf numFmtId="186" fontId="8" fillId="0" borderId="0" xfId="2" applyNumberFormat="1" applyFont="1" applyFill="1" applyAlignment="1">
      <alignment horizontal="center" vertical="center"/>
    </xf>
    <xf numFmtId="186" fontId="8" fillId="8" borderId="0" xfId="2" applyNumberFormat="1" applyFont="1" applyFill="1" applyAlignment="1">
      <alignment horizontal="center" vertical="center"/>
    </xf>
    <xf numFmtId="186" fontId="8" fillId="10" borderId="0" xfId="2" quotePrefix="1" applyNumberFormat="1" applyFont="1" applyFill="1" applyAlignment="1">
      <alignment horizontal="center" vertical="center"/>
    </xf>
    <xf numFmtId="186" fontId="8" fillId="10" borderId="0" xfId="2" applyNumberFormat="1" applyFont="1" applyFill="1" applyAlignment="1">
      <alignment horizontal="center" vertical="center"/>
    </xf>
    <xf numFmtId="188" fontId="8" fillId="10" borderId="0" xfId="0" applyNumberFormat="1" applyFont="1" applyFill="1" applyAlignment="1">
      <alignment horizontal="center" vertical="center"/>
    </xf>
    <xf numFmtId="188" fontId="8" fillId="10" borderId="0" xfId="2" quotePrefix="1" applyNumberFormat="1" applyFont="1" applyFill="1" applyAlignment="1">
      <alignment horizontal="center" vertical="center"/>
    </xf>
    <xf numFmtId="186" fontId="4" fillId="0" borderId="0" xfId="2" applyNumberFormat="1" applyFont="1" applyAlignment="1">
      <alignment horizontal="center" vertical="center"/>
    </xf>
    <xf numFmtId="10" fontId="7" fillId="2" borderId="0" xfId="2" applyNumberFormat="1" applyFont="1" applyFill="1" applyAlignment="1">
      <alignment horizontal="center" vertical="center"/>
    </xf>
    <xf numFmtId="2" fontId="7" fillId="2" borderId="0" xfId="2" applyNumberFormat="1" applyFont="1" applyFill="1" applyAlignment="1">
      <alignment horizontal="center" vertical="center"/>
    </xf>
  </cellXfs>
  <cellStyles count="3">
    <cellStyle name="Normal" xfId="0" builtinId="0"/>
    <cellStyle name="Normal 2" xfId="1"/>
    <cellStyle name="Percent" xfId="2" builtinId="5"/>
  </cellStyles>
  <dxfs count="8"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15</xdr:row>
          <xdr:rowOff>9525</xdr:rowOff>
        </xdr:from>
        <xdr:to>
          <xdr:col>9</xdr:col>
          <xdr:colOff>76200</xdr:colOff>
          <xdr:row>17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Performance 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11</xdr:row>
          <xdr:rowOff>9525</xdr:rowOff>
        </xdr:from>
        <xdr:to>
          <xdr:col>9</xdr:col>
          <xdr:colOff>76200</xdr:colOff>
          <xdr:row>13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Race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TrainerEntryTable_2" backgroundRefresh="0" preserveFormatting="0" adjustColumnWidth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Local" adjustColumnWidth="0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Local" backgroundRefresh="0" adjustColumnWidth="0" connectionId="1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1_2" backgroundRefresh="0" preserveFormatting="0" adjustColumnWidth="0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2_2" backgroundRefresh="0" preserveFormatting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3_2" backgroundRefresh="0" preserveFormatting="0" adjustColumnWidth="0" connectionId="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4_2" backgroundRefresh="0" preserveFormatting="0" adjustColumnWidth="0" connectionId="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5_2" backgroundRefresh="0" preserveFormatting="0" adjustColumnWidth="0" connectionId="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6_2" backgroundRefresh="0" preserveFormatting="0" adjustColumnWidth="0" connectionId="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7_2" backgroundRefresh="0" preserveFormatting="0" adjustColumnWidth="0" connectionId="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9_2" backgroundRefresh="0" preserveFormatting="0" adjustColumnWidth="0" connectionId="1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8_2" backgroundRefresh="0" preserveFormatting="0" adjustColumnWidth="0" connectionId="1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10_2" backgroundRefresh="0" preserveFormatting="0" adjustColumnWidth="0" connectionId="1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11_2" backgroundRefresh="0" preserveFormatting="0" adjustColumnWidth="0" connectionId="1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87"/>
  <sheetViews>
    <sheetView tabSelected="1" zoomScale="80" zoomScaleNormal="80" workbookViewId="0">
      <selection activeCell="C35" sqref="C35"/>
    </sheetView>
  </sheetViews>
  <sheetFormatPr defaultRowHeight="14.25" outlineLevelRow="1" x14ac:dyDescent="0.25"/>
  <cols>
    <col min="1" max="1" width="1.42578125" style="2" customWidth="1"/>
    <col min="2" max="2" width="24.85546875" style="2" customWidth="1"/>
    <col min="3" max="16" width="12.28515625" style="2" customWidth="1"/>
    <col min="17" max="17" width="2" style="2" customWidth="1"/>
    <col min="18" max="18" width="9.140625" style="2" customWidth="1"/>
    <col min="19" max="19" width="83" style="2" customWidth="1"/>
    <col min="20" max="20" width="9.140625" style="2" customWidth="1"/>
    <col min="21" max="22" width="9.140625" style="2"/>
    <col min="23" max="36" width="4.140625" style="2" customWidth="1"/>
    <col min="37" max="16384" width="9.140625" style="2"/>
  </cols>
  <sheetData>
    <row r="1" spans="1:15" ht="15" x14ac:dyDescent="0.25">
      <c r="A1" s="1" t="s">
        <v>0</v>
      </c>
    </row>
    <row r="3" spans="1:15" ht="15" x14ac:dyDescent="0.25">
      <c r="B3" s="3" t="s">
        <v>1</v>
      </c>
      <c r="C3" s="4">
        <v>20161019</v>
      </c>
    </row>
    <row r="4" spans="1:15" ht="15" x14ac:dyDescent="0.25">
      <c r="B4" s="3" t="s">
        <v>2</v>
      </c>
      <c r="C4" s="4" t="s">
        <v>209</v>
      </c>
      <c r="K4" s="5" t="s">
        <v>3</v>
      </c>
      <c r="L4" s="6"/>
      <c r="M4" s="6"/>
      <c r="N4" s="6"/>
      <c r="O4" s="6"/>
    </row>
    <row r="5" spans="1:15" ht="15" x14ac:dyDescent="0.25">
      <c r="B5" s="3" t="s">
        <v>4</v>
      </c>
      <c r="C5" s="4">
        <v>8</v>
      </c>
      <c r="K5" s="7" t="s">
        <v>5</v>
      </c>
      <c r="L5" s="7" t="s">
        <v>6</v>
      </c>
      <c r="M5" s="7" t="s">
        <v>7</v>
      </c>
      <c r="N5" s="7" t="s">
        <v>8</v>
      </c>
      <c r="O5" s="7" t="s">
        <v>968</v>
      </c>
    </row>
    <row r="6" spans="1:15" ht="15" x14ac:dyDescent="0.25">
      <c r="B6" s="3" t="s">
        <v>9</v>
      </c>
      <c r="C6" s="4">
        <v>0</v>
      </c>
      <c r="D6" s="2" t="s">
        <v>10</v>
      </c>
      <c r="K6" s="6">
        <v>1</v>
      </c>
      <c r="L6" s="6">
        <f ca="1">INDEX($C$22:$P$22,MATCH(K6,$C$83:$P$83,0))</f>
        <v>12</v>
      </c>
      <c r="M6" s="8" t="str">
        <f ca="1">INDEX($C$23:$P$23,MATCH(K6,$C$83:$P$83,0))</f>
        <v>美好家園</v>
      </c>
      <c r="N6" s="78">
        <f ca="1">INDEX($C$82:$P$82,MATCH(K6,$C$83:$P$83,0))</f>
        <v>0.15452539729774928</v>
      </c>
      <c r="O6" s="79">
        <f ca="1">1/N6/SUM(OFFSET($N$6,0,0,$C$11,1))</f>
        <v>5.7040459024546832</v>
      </c>
    </row>
    <row r="7" spans="1:15" ht="15" x14ac:dyDescent="0.25">
      <c r="B7" s="3" t="s">
        <v>11</v>
      </c>
      <c r="C7" s="9">
        <f>VALUE(LEFT(INDEX(Trainer!$G$4:$Q$4,$C$5),4))</f>
        <v>1200</v>
      </c>
      <c r="K7" s="6">
        <v>2</v>
      </c>
      <c r="L7" s="6">
        <f ca="1">INDEX($C$22:$P$22,MATCH(K7,$C$83:$P$83,0))</f>
        <v>1</v>
      </c>
      <c r="M7" s="8" t="str">
        <f ca="1">INDEX($C$23:$P$23,MATCH(K7,$C$83:$P$83,0))</f>
        <v>恆駿寶駒</v>
      </c>
      <c r="N7" s="78">
        <f ca="1">INDEX($C$82:$P$82,MATCH(K7,$C$83:$P$83,0))</f>
        <v>0.11969543569232918</v>
      </c>
      <c r="O7" s="79">
        <f t="shared" ref="O7:O19" ca="1" si="0">1/N7/SUM(OFFSET($N$6,0,0,$C$11,1))</f>
        <v>7.3638560583634316</v>
      </c>
    </row>
    <row r="8" spans="1:15" ht="15" x14ac:dyDescent="0.25">
      <c r="B8" s="3" t="s">
        <v>12</v>
      </c>
      <c r="C8" s="4">
        <v>1</v>
      </c>
      <c r="D8" s="2" t="s">
        <v>13</v>
      </c>
      <c r="K8" s="6">
        <v>3</v>
      </c>
      <c r="L8" s="6">
        <f ca="1">INDEX($C$22:$P$22,MATCH(K8,$C$83:$P$83,0))</f>
        <v>10</v>
      </c>
      <c r="M8" s="8" t="str">
        <f ca="1">INDEX($C$23:$P$23,MATCH(K8,$C$83:$P$83,0))</f>
        <v>平天下</v>
      </c>
      <c r="N8" s="78">
        <f ca="1">INDEX($C$82:$P$82,MATCH(K8,$C$83:$P$83,0))</f>
        <v>0.10953999589881408</v>
      </c>
      <c r="O8" s="79">
        <f t="shared" ca="1" si="0"/>
        <v>8.0465582643951095</v>
      </c>
    </row>
    <row r="9" spans="1:15" ht="15" x14ac:dyDescent="0.25">
      <c r="B9" s="3" t="s">
        <v>14</v>
      </c>
      <c r="C9" s="4">
        <v>1.4</v>
      </c>
      <c r="K9" s="6">
        <v>4</v>
      </c>
      <c r="L9" s="6">
        <f ca="1">INDEX($C$22:$P$22,MATCH(K9,$C$83:$P$83,0))</f>
        <v>4</v>
      </c>
      <c r="M9" s="8" t="str">
        <f ca="1">INDEX($C$23:$P$23,MATCH(K9,$C$83:$P$83,0))</f>
        <v>舖舖旺</v>
      </c>
      <c r="N9" s="78">
        <f ca="1">INDEX($C$82:$P$82,MATCH(K9,$C$83:$P$83,0))</f>
        <v>0.10697752134575021</v>
      </c>
      <c r="O9" s="79">
        <f t="shared" ca="1" si="0"/>
        <v>8.2393006324447242</v>
      </c>
    </row>
    <row r="10" spans="1:15" ht="15" x14ac:dyDescent="0.25">
      <c r="B10" s="3" t="s">
        <v>197</v>
      </c>
      <c r="C10" s="4">
        <f>INDEX(Trainer!G3:Q3,$C5)</f>
        <v>3</v>
      </c>
      <c r="K10" s="6">
        <v>5</v>
      </c>
      <c r="L10" s="6">
        <f ca="1">INDEX($C$22:$P$22,MATCH(K10,$C$83:$P$83,0))</f>
        <v>2</v>
      </c>
      <c r="M10" s="8" t="str">
        <f ca="1">INDEX($C$23:$P$23,MATCH(K10,$C$83:$P$83,0))</f>
        <v>中華寶貝</v>
      </c>
      <c r="N10" s="78">
        <f ca="1">INDEX($C$82:$P$82,MATCH(K10,$C$83:$P$83,0))</f>
        <v>0.10666779446032842</v>
      </c>
      <c r="O10" s="79">
        <f t="shared" ca="1" si="0"/>
        <v>8.2632247506460246</v>
      </c>
    </row>
    <row r="11" spans="1:15" ht="15" x14ac:dyDescent="0.25">
      <c r="B11" s="3" t="s">
        <v>983</v>
      </c>
      <c r="C11" s="4">
        <f ca="1">COUNTIF($C$23:$P$23,"&lt;&gt;0")</f>
        <v>12</v>
      </c>
      <c r="K11" s="6">
        <v>6</v>
      </c>
      <c r="L11" s="6">
        <f ca="1">INDEX($C$22:$P$22,MATCH(K11,$C$83:$P$83,0))</f>
        <v>9</v>
      </c>
      <c r="M11" s="8" t="str">
        <f ca="1">INDEX($C$23:$P$23,MATCH(K11,$C$83:$P$83,0))</f>
        <v>金筷子</v>
      </c>
      <c r="N11" s="78">
        <f ca="1">INDEX($C$82:$P$82,MATCH(K11,$C$83:$P$83,0))</f>
        <v>8.5803616797391735E-2</v>
      </c>
      <c r="O11" s="79">
        <f t="shared" ca="1" si="0"/>
        <v>10.272526872179615</v>
      </c>
    </row>
    <row r="12" spans="1:15" ht="15" x14ac:dyDescent="0.25">
      <c r="K12" s="6">
        <v>7</v>
      </c>
      <c r="L12" s="6">
        <f ca="1">INDEX($C$22:$P$22,MATCH(K12,$C$83:$P$83,0))</f>
        <v>3</v>
      </c>
      <c r="M12" s="8" t="str">
        <f ca="1">INDEX($C$23:$P$23,MATCH(K12,$C$83:$P$83,0))</f>
        <v>總統至上</v>
      </c>
      <c r="N12" s="78">
        <f ca="1">INDEX($C$82:$P$82,MATCH(K12,$C$83:$P$83,0))</f>
        <v>8.2919526735267729E-2</v>
      </c>
      <c r="O12" s="79">
        <f t="shared" ca="1" si="0"/>
        <v>10.629823806103792</v>
      </c>
    </row>
    <row r="13" spans="1:15" ht="15" x14ac:dyDescent="0.25">
      <c r="K13" s="6">
        <v>8</v>
      </c>
      <c r="L13" s="6">
        <f ca="1">INDEX($C$22:$P$22,MATCH(K13,$C$83:$P$83,0))</f>
        <v>6</v>
      </c>
      <c r="M13" s="8" t="str">
        <f ca="1">INDEX($C$23:$P$23,MATCH(K13,$C$83:$P$83,0))</f>
        <v>駿步蹄聲</v>
      </c>
      <c r="N13" s="78">
        <f ca="1">INDEX($C$82:$P$82,MATCH(K13,$C$83:$P$83,0))</f>
        <v>8.1959556828843566E-2</v>
      </c>
      <c r="O13" s="79">
        <f t="shared" ca="1" si="0"/>
        <v>10.754328029397247</v>
      </c>
    </row>
    <row r="14" spans="1:15" ht="15" x14ac:dyDescent="0.25">
      <c r="K14" s="6">
        <v>9</v>
      </c>
      <c r="L14" s="6">
        <f ca="1">INDEX($C$22:$P$22,MATCH(K14,$C$83:$P$83,0))</f>
        <v>8</v>
      </c>
      <c r="M14" s="8" t="str">
        <f ca="1">INDEX($C$23:$P$23,MATCH(K14,$C$83:$P$83,0))</f>
        <v>欣喜欣喜</v>
      </c>
      <c r="N14" s="78">
        <f ca="1">INDEX($C$82:$P$82,MATCH(K14,$C$83:$P$83,0))</f>
        <v>8.1360223885519389E-2</v>
      </c>
      <c r="O14" s="79">
        <f t="shared" ca="1" si="0"/>
        <v>10.833548842265234</v>
      </c>
    </row>
    <row r="15" spans="1:15" ht="15" x14ac:dyDescent="0.25">
      <c r="K15" s="6">
        <v>10</v>
      </c>
      <c r="L15" s="6">
        <f ca="1">INDEX($C$22:$P$22,MATCH(K15,$C$83:$P$83,0))</f>
        <v>5</v>
      </c>
      <c r="M15" s="8" t="str">
        <f ca="1">INDEX($C$23:$P$23,MATCH(K15,$C$83:$P$83,0))</f>
        <v>一馬當先</v>
      </c>
      <c r="N15" s="78">
        <f ca="1">INDEX($C$82:$P$82,MATCH(K15,$C$83:$P$83,0))</f>
        <v>7.1566288198918665E-2</v>
      </c>
      <c r="O15" s="79">
        <f t="shared" ca="1" si="0"/>
        <v>12.316133496144161</v>
      </c>
    </row>
    <row r="16" spans="1:15" ht="15" x14ac:dyDescent="0.25">
      <c r="K16" s="6">
        <v>11</v>
      </c>
      <c r="L16" s="6">
        <f ca="1">INDEX($C$22:$P$22,MATCH(K16,$C$83:$P$83,0))</f>
        <v>11</v>
      </c>
      <c r="M16" s="8" t="str">
        <f ca="1">INDEX($C$23:$P$23,MATCH(K16,$C$83:$P$83,0))</f>
        <v>奪目商人</v>
      </c>
      <c r="N16" s="78">
        <f ca="1">INDEX($C$82:$P$82,MATCH(K16,$C$83:$P$83,0))</f>
        <v>6.7447207772687867E-2</v>
      </c>
      <c r="O16" s="79">
        <f t="shared" ca="1" si="0"/>
        <v>13.068294276198809</v>
      </c>
    </row>
    <row r="17" spans="2:19" ht="15" x14ac:dyDescent="0.25">
      <c r="K17" s="6">
        <v>12</v>
      </c>
      <c r="L17" s="6">
        <f ca="1">INDEX($C$22:$P$22,MATCH(K17,$C$83:$P$83,0))</f>
        <v>7</v>
      </c>
      <c r="M17" s="8" t="str">
        <f ca="1">INDEX($C$23:$P$23,MATCH(K17,$C$83:$P$83,0))</f>
        <v>四千金</v>
      </c>
      <c r="N17" s="78">
        <f ca="1">INDEX($C$82:$P$82,MATCH(K17,$C$83:$P$83,0))</f>
        <v>6.6070400297745219E-2</v>
      </c>
      <c r="O17" s="79">
        <f t="shared" ca="1" si="0"/>
        <v>13.340617815380314</v>
      </c>
    </row>
    <row r="18" spans="2:19" ht="15" x14ac:dyDescent="0.25">
      <c r="K18" s="6">
        <v>13</v>
      </c>
      <c r="L18" s="6" t="e">
        <f ca="1">INDEX($C$22:$P$22,MATCH(K18,$C$83:$P$83,0))</f>
        <v>#N/A</v>
      </c>
      <c r="M18" s="8" t="e">
        <f ca="1">INDEX($C$23:$P$23,MATCH(K18,$C$83:$P$83,0))</f>
        <v>#N/A</v>
      </c>
      <c r="N18" s="78" t="e">
        <f ca="1">INDEX($C$82:$P$82,MATCH(K18,$C$83:$P$83,0))</f>
        <v>#N/A</v>
      </c>
      <c r="O18" s="79" t="e">
        <f t="shared" ca="1" si="0"/>
        <v>#N/A</v>
      </c>
    </row>
    <row r="19" spans="2:19" ht="15" x14ac:dyDescent="0.25">
      <c r="K19" s="6">
        <v>14</v>
      </c>
      <c r="L19" s="6" t="e">
        <f ca="1">INDEX($C$22:$P$22,MATCH(K19,$C$83:$P$83,0))</f>
        <v>#N/A</v>
      </c>
      <c r="M19" s="8" t="e">
        <f ca="1">INDEX($C$23:$P$23,MATCH(K19,$C$83:$P$83,0))</f>
        <v>#N/A</v>
      </c>
      <c r="N19" s="78" t="e">
        <f ca="1">INDEX($C$82:$P$82,MATCH(K19,$C$83:$P$83,0))</f>
        <v>#N/A</v>
      </c>
      <c r="O19" s="79" t="e">
        <f t="shared" ca="1" si="0"/>
        <v>#N/A</v>
      </c>
    </row>
    <row r="22" spans="2:19" ht="15" x14ac:dyDescent="0.25">
      <c r="B22" s="10" t="s">
        <v>15</v>
      </c>
      <c r="C22" s="10">
        <v>1</v>
      </c>
      <c r="D22" s="10">
        <f ca="1">IF(D23="(退出)",C22,C22+1)</f>
        <v>2</v>
      </c>
      <c r="E22" s="10">
        <f t="shared" ref="E22:P22" ca="1" si="1">IF(E23="(退出)",D22,D22+1)</f>
        <v>3</v>
      </c>
      <c r="F22" s="10">
        <f t="shared" ca="1" si="1"/>
        <v>4</v>
      </c>
      <c r="G22" s="10">
        <f t="shared" ca="1" si="1"/>
        <v>5</v>
      </c>
      <c r="H22" s="10">
        <f t="shared" ca="1" si="1"/>
        <v>6</v>
      </c>
      <c r="I22" s="10">
        <f t="shared" ca="1" si="1"/>
        <v>7</v>
      </c>
      <c r="J22" s="10">
        <f t="shared" ca="1" si="1"/>
        <v>8</v>
      </c>
      <c r="K22" s="10">
        <f t="shared" ca="1" si="1"/>
        <v>9</v>
      </c>
      <c r="L22" s="10">
        <f t="shared" ca="1" si="1"/>
        <v>10</v>
      </c>
      <c r="M22" s="10">
        <f t="shared" ca="1" si="1"/>
        <v>11</v>
      </c>
      <c r="N22" s="10">
        <f t="shared" ca="1" si="1"/>
        <v>12</v>
      </c>
      <c r="O22" s="10">
        <f t="shared" ca="1" si="1"/>
        <v>13</v>
      </c>
      <c r="P22" s="10">
        <f t="shared" ca="1" si="1"/>
        <v>14</v>
      </c>
      <c r="Q22" s="11"/>
      <c r="R22" s="6" t="s">
        <v>16</v>
      </c>
      <c r="S22" s="1" t="s">
        <v>17</v>
      </c>
    </row>
    <row r="23" spans="2:19" ht="15" x14ac:dyDescent="0.25">
      <c r="B23" s="10" t="s">
        <v>7</v>
      </c>
      <c r="C23" s="12" t="str">
        <f t="array" aca="1" ref="C23:P23" ca="1">TRANSPOSE(INDIRECT("'R"&amp;$C$5&amp;"'!$E$3:$E$16"))</f>
        <v>恆駿寶駒</v>
      </c>
      <c r="D23" s="12" t="str">
        <f ca="1"/>
        <v>中華寶貝</v>
      </c>
      <c r="E23" s="12" t="str">
        <f ca="1"/>
        <v>總統至上</v>
      </c>
      <c r="F23" s="12" t="str">
        <f ca="1"/>
        <v>舖舖旺</v>
      </c>
      <c r="G23" s="12" t="str">
        <f ca="1"/>
        <v>一馬當先</v>
      </c>
      <c r="H23" s="12" t="str">
        <f ca="1"/>
        <v>駿步蹄聲</v>
      </c>
      <c r="I23" s="12" t="str">
        <f ca="1"/>
        <v>四千金</v>
      </c>
      <c r="J23" s="12" t="str">
        <f ca="1"/>
        <v>欣喜欣喜</v>
      </c>
      <c r="K23" s="12" t="str">
        <f ca="1"/>
        <v>金筷子</v>
      </c>
      <c r="L23" s="12" t="str">
        <f ca="1"/>
        <v>平天下</v>
      </c>
      <c r="M23" s="12" t="str">
        <f ca="1"/>
        <v>奪目商人</v>
      </c>
      <c r="N23" s="12" t="str">
        <f ca="1"/>
        <v>美好家園</v>
      </c>
      <c r="O23" s="12">
        <f ca="1"/>
        <v>0</v>
      </c>
      <c r="P23" s="12">
        <f ca="1"/>
        <v>0</v>
      </c>
      <c r="Q23" s="11"/>
      <c r="R23" s="6"/>
      <c r="S23" s="1"/>
    </row>
    <row r="24" spans="2:19" ht="15" x14ac:dyDescent="0.25">
      <c r="B24" s="10" t="s">
        <v>18</v>
      </c>
      <c r="C24" s="12" t="str">
        <f t="array" aca="1" ref="C24:P24" ca="1">TRANSPOSE(INDIRECT("'R"&amp;$C$5&amp;"'!$F$3:$F$16"))</f>
        <v>T262</v>
      </c>
      <c r="D24" s="12" t="str">
        <f ca="1"/>
        <v>S172</v>
      </c>
      <c r="E24" s="12" t="str">
        <f ca="1"/>
        <v>S420</v>
      </c>
      <c r="F24" s="12" t="str">
        <f ca="1"/>
        <v>T196</v>
      </c>
      <c r="G24" s="12" t="str">
        <f ca="1"/>
        <v>S044</v>
      </c>
      <c r="H24" s="12" t="str">
        <f ca="1"/>
        <v>S348</v>
      </c>
      <c r="I24" s="12" t="str">
        <f ca="1"/>
        <v>V362</v>
      </c>
      <c r="J24" s="12" t="str">
        <f ca="1"/>
        <v>V247</v>
      </c>
      <c r="K24" s="12" t="str">
        <f ca="1"/>
        <v>P120</v>
      </c>
      <c r="L24" s="12" t="str">
        <f ca="1"/>
        <v>T100</v>
      </c>
      <c r="M24" s="12" t="str">
        <f ca="1"/>
        <v>N111</v>
      </c>
      <c r="N24" s="12" t="str">
        <f ca="1"/>
        <v>T347</v>
      </c>
      <c r="O24" s="12">
        <f ca="1"/>
        <v>0</v>
      </c>
      <c r="P24" s="12">
        <f ca="1"/>
        <v>0</v>
      </c>
      <c r="Q24" s="11"/>
      <c r="R24" s="6"/>
      <c r="S24" s="1"/>
    </row>
    <row r="25" spans="2:19" ht="15" x14ac:dyDescent="0.25">
      <c r="B25" s="13" t="s">
        <v>19</v>
      </c>
      <c r="C25" s="14">
        <f t="array" aca="1" ref="C25:P25" ca="1">TRANSPOSE(INDIRECT("'R"&amp;$C$5&amp;"'!$J$3:$J$16"))</f>
        <v>8</v>
      </c>
      <c r="D25" s="14">
        <f ca="1"/>
        <v>4</v>
      </c>
      <c r="E25" s="14">
        <f ca="1"/>
        <v>5</v>
      </c>
      <c r="F25" s="14">
        <f ca="1"/>
        <v>12</v>
      </c>
      <c r="G25" s="14">
        <f ca="1"/>
        <v>11</v>
      </c>
      <c r="H25" s="14">
        <f ca="1"/>
        <v>3</v>
      </c>
      <c r="I25" s="14">
        <f ca="1"/>
        <v>2</v>
      </c>
      <c r="J25" s="14">
        <f ca="1"/>
        <v>1</v>
      </c>
      <c r="K25" s="14">
        <f ca="1"/>
        <v>10</v>
      </c>
      <c r="L25" s="14">
        <f ca="1"/>
        <v>9</v>
      </c>
      <c r="M25" s="14">
        <f ca="1"/>
        <v>7</v>
      </c>
      <c r="N25" s="14">
        <f ca="1"/>
        <v>6</v>
      </c>
      <c r="O25" s="14">
        <f ca="1"/>
        <v>0</v>
      </c>
      <c r="P25" s="14">
        <f ca="1"/>
        <v>0</v>
      </c>
      <c r="Q25" s="11"/>
      <c r="R25" s="6"/>
      <c r="S25" s="2" t="s">
        <v>20</v>
      </c>
    </row>
    <row r="26" spans="2:19" ht="15" x14ac:dyDescent="0.25">
      <c r="B26" s="15" t="s">
        <v>21</v>
      </c>
      <c r="C26" s="16">
        <v>2</v>
      </c>
      <c r="D26" s="16">
        <v>1</v>
      </c>
      <c r="E26" s="16">
        <v>2</v>
      </c>
      <c r="F26" s="16">
        <v>2</v>
      </c>
      <c r="G26" s="16">
        <v>2</v>
      </c>
      <c r="H26" s="16">
        <v>2</v>
      </c>
      <c r="I26" s="16">
        <v>3</v>
      </c>
      <c r="J26" s="16">
        <v>2</v>
      </c>
      <c r="K26" s="16">
        <v>2</v>
      </c>
      <c r="L26" s="16">
        <v>2</v>
      </c>
      <c r="M26" s="16">
        <v>2</v>
      </c>
      <c r="N26" s="16">
        <v>2</v>
      </c>
      <c r="O26" s="16">
        <v>2</v>
      </c>
      <c r="P26" s="16">
        <v>1</v>
      </c>
      <c r="Q26" s="11"/>
      <c r="R26" s="6">
        <v>0</v>
      </c>
      <c r="S26" s="17" t="s">
        <v>22</v>
      </c>
    </row>
    <row r="27" spans="2:19" ht="15" x14ac:dyDescent="0.25">
      <c r="B27" s="15" t="s">
        <v>23</v>
      </c>
      <c r="C27" s="16">
        <v>1</v>
      </c>
      <c r="D27" s="16">
        <v>1</v>
      </c>
      <c r="E27" s="16">
        <v>2</v>
      </c>
      <c r="F27" s="16">
        <v>1</v>
      </c>
      <c r="G27" s="16">
        <v>1</v>
      </c>
      <c r="H27" s="16">
        <v>1</v>
      </c>
      <c r="I27" s="16">
        <v>1</v>
      </c>
      <c r="J27" s="16">
        <v>3</v>
      </c>
      <c r="K27" s="16">
        <v>1</v>
      </c>
      <c r="L27" s="16">
        <v>2</v>
      </c>
      <c r="M27" s="16">
        <v>1</v>
      </c>
      <c r="N27" s="16">
        <v>1</v>
      </c>
      <c r="O27" s="16">
        <v>1</v>
      </c>
      <c r="P27" s="16">
        <v>1</v>
      </c>
      <c r="Q27" s="11"/>
      <c r="R27" s="6">
        <v>0</v>
      </c>
      <c r="S27" s="17" t="s">
        <v>24</v>
      </c>
    </row>
    <row r="28" spans="2:19" ht="15" hidden="1" outlineLevel="1" x14ac:dyDescent="0.25">
      <c r="B28" s="15" t="s">
        <v>25</v>
      </c>
      <c r="C28" s="16">
        <f ca="1">1.2*(C25/C26)+(0.5*C27*1200/$C$7)</f>
        <v>5.3</v>
      </c>
      <c r="D28" s="16">
        <f t="shared" ref="D28:P28" ca="1" si="2">1.2*(D25/D26)+(0.5*D27*1200/$C$7)</f>
        <v>5.3</v>
      </c>
      <c r="E28" s="16">
        <f t="shared" ca="1" si="2"/>
        <v>4</v>
      </c>
      <c r="F28" s="16">
        <f t="shared" ca="1" si="2"/>
        <v>7.6999999999999993</v>
      </c>
      <c r="G28" s="16">
        <f t="shared" ca="1" si="2"/>
        <v>7.1</v>
      </c>
      <c r="H28" s="16">
        <f t="shared" ca="1" si="2"/>
        <v>2.2999999999999998</v>
      </c>
      <c r="I28" s="16">
        <f t="shared" ca="1" si="2"/>
        <v>1.2999999999999998</v>
      </c>
      <c r="J28" s="16">
        <f t="shared" ca="1" si="2"/>
        <v>2.1</v>
      </c>
      <c r="K28" s="16">
        <f t="shared" ca="1" si="2"/>
        <v>6.5</v>
      </c>
      <c r="L28" s="16">
        <f t="shared" ca="1" si="2"/>
        <v>6.3999999999999995</v>
      </c>
      <c r="M28" s="16">
        <f t="shared" ca="1" si="2"/>
        <v>4.7</v>
      </c>
      <c r="N28" s="16">
        <f t="shared" ca="1" si="2"/>
        <v>4.0999999999999996</v>
      </c>
      <c r="O28" s="16">
        <f t="shared" ca="1" si="2"/>
        <v>0.5</v>
      </c>
      <c r="P28" s="16">
        <f t="shared" ca="1" si="2"/>
        <v>0.5</v>
      </c>
      <c r="Q28" s="11"/>
      <c r="R28" s="6">
        <v>0</v>
      </c>
      <c r="S28" s="17" t="s">
        <v>26</v>
      </c>
    </row>
    <row r="29" spans="2:19" ht="15" hidden="1" outlineLevel="1" x14ac:dyDescent="0.25">
      <c r="B29" s="53" t="s">
        <v>203</v>
      </c>
      <c r="C29" s="48">
        <f>(C26-0.5)*(4-C27)/12</f>
        <v>0.375</v>
      </c>
      <c r="D29" s="48">
        <f t="shared" ref="D29:P29" si="3">(D26-0.5)*(4-D27)/12</f>
        <v>0.125</v>
      </c>
      <c r="E29" s="48">
        <f t="shared" si="3"/>
        <v>0.25</v>
      </c>
      <c r="F29" s="48">
        <f t="shared" si="3"/>
        <v>0.375</v>
      </c>
      <c r="G29" s="48">
        <f t="shared" si="3"/>
        <v>0.375</v>
      </c>
      <c r="H29" s="48">
        <f t="shared" si="3"/>
        <v>0.375</v>
      </c>
      <c r="I29" s="48">
        <f t="shared" si="3"/>
        <v>0.625</v>
      </c>
      <c r="J29" s="48">
        <f t="shared" si="3"/>
        <v>0.125</v>
      </c>
      <c r="K29" s="48">
        <f t="shared" si="3"/>
        <v>0.375</v>
      </c>
      <c r="L29" s="48">
        <f t="shared" si="3"/>
        <v>0.25</v>
      </c>
      <c r="M29" s="48">
        <f t="shared" si="3"/>
        <v>0.375</v>
      </c>
      <c r="N29" s="48">
        <f t="shared" si="3"/>
        <v>0.375</v>
      </c>
      <c r="O29" s="48">
        <f t="shared" si="3"/>
        <v>0.375</v>
      </c>
      <c r="P29" s="48">
        <f t="shared" si="3"/>
        <v>0.125</v>
      </c>
      <c r="Q29" s="11"/>
      <c r="R29" s="6"/>
      <c r="S29" s="17"/>
    </row>
    <row r="30" spans="2:19" ht="15" hidden="1" outlineLevel="1" x14ac:dyDescent="0.25">
      <c r="B30" s="53" t="s">
        <v>204</v>
      </c>
      <c r="C30" s="48">
        <f ca="1">VLOOKUP(IF(LEN(C35)&gt;3,LEFT(C35,3),C35),Jockey!$B$4:$D$54,3,FALSE)</f>
        <v>1.7</v>
      </c>
      <c r="D30" s="48">
        <f ca="1">VLOOKUP(IF(LEN(D35)&gt;3,LEFT(D35,3),D35),Jockey!$B$4:$D$54,3,FALSE)</f>
        <v>2</v>
      </c>
      <c r="E30" s="48">
        <f ca="1">VLOOKUP(IF(LEN(E35)&gt;3,LEFT(E35,3),E35),Jockey!$B$4:$D$54,3,FALSE)</f>
        <v>1.8</v>
      </c>
      <c r="F30" s="48">
        <f ca="1">VLOOKUP(IF(LEN(F35)&gt;3,LEFT(F35,3),F35),Jockey!$B$4:$D$54,3,FALSE)</f>
        <v>1</v>
      </c>
      <c r="G30" s="48">
        <f ca="1">VLOOKUP(IF(LEN(G35)&gt;3,LEFT(G35,3),G35),Jockey!$B$4:$D$54,3,FALSE)</f>
        <v>2</v>
      </c>
      <c r="H30" s="48">
        <f ca="1">VLOOKUP(IF(LEN(H35)&gt;3,LEFT(H35,3),H35),Jockey!$B$4:$D$54,3,FALSE)</f>
        <v>1.1000000000000001</v>
      </c>
      <c r="I30" s="48">
        <f ca="1">VLOOKUP(IF(LEN(I35)&gt;3,LEFT(I35,3),I35),Jockey!$B$4:$D$54,3,FALSE)</f>
        <v>1.5</v>
      </c>
      <c r="J30" s="48">
        <f ca="1">VLOOKUP(IF(LEN(J35)&gt;3,LEFT(J35,3),J35),Jockey!$B$4:$D$54,3,FALSE)</f>
        <v>1.2</v>
      </c>
      <c r="K30" s="48">
        <f ca="1">VLOOKUP(IF(LEN(K35)&gt;3,LEFT(K35,3),K35),Jockey!$B$4:$D$54,3,FALSE)</f>
        <v>1</v>
      </c>
      <c r="L30" s="48">
        <f ca="1">VLOOKUP(IF(LEN(L35)&gt;3,LEFT(L35,3),L35),Jockey!$B$4:$D$54,3,FALSE)</f>
        <v>1.5</v>
      </c>
      <c r="M30" s="48">
        <f ca="1">VLOOKUP(IF(LEN(M35)&gt;3,LEFT(M35,3),M35),Jockey!$B$4:$D$54,3,FALSE)</f>
        <v>1</v>
      </c>
      <c r="N30" s="48">
        <f ca="1">VLOOKUP(IF(LEN(N35)&gt;3,LEFT(N35,3),N35),Jockey!$B$4:$D$54,3,FALSE)</f>
        <v>3</v>
      </c>
      <c r="O30" s="48" t="e">
        <f ca="1">VLOOKUP(IF(LEN(O35)&gt;3,LEFT(O35,3),O35),Jockey!$B$4:$D$54,3,FALSE)</f>
        <v>#N/A</v>
      </c>
      <c r="P30" s="48" t="e">
        <f ca="1">VLOOKUP(IF(LEN(P35)&gt;3,LEFT(P35,3),P35),Jockey!$B$4:$D$54,3,FALSE)</f>
        <v>#N/A</v>
      </c>
      <c r="Q30" s="11"/>
      <c r="R30" s="6"/>
      <c r="S30" s="17"/>
    </row>
    <row r="31" spans="2:19" ht="15" hidden="1" outlineLevel="1" x14ac:dyDescent="0.25">
      <c r="B31" s="53" t="s">
        <v>206</v>
      </c>
      <c r="C31" s="48">
        <f ca="1">C29/(1+(C30-1)*$R$31)</f>
        <v>0.375</v>
      </c>
      <c r="D31" s="48">
        <f t="shared" ref="D31:P31" ca="1" si="4">D29/(1+(D30-1)*$R$31)</f>
        <v>0.125</v>
      </c>
      <c r="E31" s="48">
        <f t="shared" ca="1" si="4"/>
        <v>0.25</v>
      </c>
      <c r="F31" s="48">
        <f t="shared" ca="1" si="4"/>
        <v>0.375</v>
      </c>
      <c r="G31" s="48">
        <f t="shared" ca="1" si="4"/>
        <v>0.375</v>
      </c>
      <c r="H31" s="48">
        <f t="shared" ca="1" si="4"/>
        <v>0.375</v>
      </c>
      <c r="I31" s="48">
        <f t="shared" ca="1" si="4"/>
        <v>0.625</v>
      </c>
      <c r="J31" s="48">
        <f t="shared" ca="1" si="4"/>
        <v>0.125</v>
      </c>
      <c r="K31" s="48">
        <f t="shared" ca="1" si="4"/>
        <v>0.375</v>
      </c>
      <c r="L31" s="48">
        <f t="shared" ca="1" si="4"/>
        <v>0.25</v>
      </c>
      <c r="M31" s="48">
        <f t="shared" ca="1" si="4"/>
        <v>0.375</v>
      </c>
      <c r="N31" s="48">
        <f t="shared" ca="1" si="4"/>
        <v>0.375</v>
      </c>
      <c r="O31" s="48" t="e">
        <f t="shared" ca="1" si="4"/>
        <v>#N/A</v>
      </c>
      <c r="P31" s="48" t="e">
        <f t="shared" ca="1" si="4"/>
        <v>#N/A</v>
      </c>
      <c r="Q31" s="11"/>
      <c r="R31" s="6">
        <v>0</v>
      </c>
      <c r="S31" s="17"/>
    </row>
    <row r="32" spans="2:19" ht="15" hidden="1" outlineLevel="1" x14ac:dyDescent="0.25">
      <c r="B32" s="53" t="s">
        <v>207</v>
      </c>
      <c r="C32" s="48">
        <f ca="1">1-C31</f>
        <v>0.625</v>
      </c>
      <c r="D32" s="48">
        <f t="shared" ref="D32:P32" ca="1" si="5">1-D31</f>
        <v>0.875</v>
      </c>
      <c r="E32" s="48">
        <f t="shared" ca="1" si="5"/>
        <v>0.75</v>
      </c>
      <c r="F32" s="48">
        <f t="shared" ca="1" si="5"/>
        <v>0.625</v>
      </c>
      <c r="G32" s="48">
        <f t="shared" ca="1" si="5"/>
        <v>0.625</v>
      </c>
      <c r="H32" s="48">
        <f t="shared" ca="1" si="5"/>
        <v>0.625</v>
      </c>
      <c r="I32" s="48">
        <f t="shared" ca="1" si="5"/>
        <v>0.375</v>
      </c>
      <c r="J32" s="48">
        <f t="shared" ca="1" si="5"/>
        <v>0.875</v>
      </c>
      <c r="K32" s="48">
        <f t="shared" ca="1" si="5"/>
        <v>0.625</v>
      </c>
      <c r="L32" s="48">
        <f t="shared" ca="1" si="5"/>
        <v>0.75</v>
      </c>
      <c r="M32" s="48">
        <f t="shared" ca="1" si="5"/>
        <v>0.625</v>
      </c>
      <c r="N32" s="48">
        <f t="shared" ca="1" si="5"/>
        <v>0.625</v>
      </c>
      <c r="O32" s="48" t="e">
        <f t="shared" ca="1" si="5"/>
        <v>#N/A</v>
      </c>
      <c r="P32" s="48" t="e">
        <f t="shared" ca="1" si="5"/>
        <v>#N/A</v>
      </c>
      <c r="Q32" s="11"/>
      <c r="R32" s="6">
        <v>0</v>
      </c>
      <c r="S32" s="17"/>
    </row>
    <row r="33" spans="2:19" ht="15" hidden="1" outlineLevel="1" x14ac:dyDescent="0.25">
      <c r="B33" s="18" t="s">
        <v>27</v>
      </c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1"/>
      <c r="R33" s="6">
        <v>0</v>
      </c>
      <c r="S33" s="17" t="s">
        <v>28</v>
      </c>
    </row>
    <row r="34" spans="2:19" ht="15" hidden="1" outlineLevel="1" x14ac:dyDescent="0.25">
      <c r="B34" s="20" t="s">
        <v>29</v>
      </c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11"/>
      <c r="R34" s="6">
        <v>0</v>
      </c>
      <c r="S34" s="17" t="s">
        <v>30</v>
      </c>
    </row>
    <row r="35" spans="2:19" ht="15" collapsed="1" x14ac:dyDescent="0.25">
      <c r="B35" s="18" t="s">
        <v>31</v>
      </c>
      <c r="C35" s="22" t="str">
        <f t="array" aca="1" ref="C35:P35" ca="1">TRANSPOSE(INDIRECT("'R"&amp;$C$5&amp;"'!$H$3:$H$16"))</f>
        <v>潘頓</v>
      </c>
      <c r="D35" s="22" t="str">
        <f ca="1"/>
        <v>柏寶</v>
      </c>
      <c r="E35" s="22" t="str">
        <f ca="1"/>
        <v>羅理雅</v>
      </c>
      <c r="F35" s="22" t="str">
        <f ca="1"/>
        <v>何澤堯(-2)</v>
      </c>
      <c r="G35" s="22" t="str">
        <f ca="1"/>
        <v>祈普敦</v>
      </c>
      <c r="H35" s="22" t="str">
        <f ca="1"/>
        <v>楊明綸(-2)</v>
      </c>
      <c r="I35" s="22" t="str">
        <f ca="1"/>
        <v>史卓豐</v>
      </c>
      <c r="J35" s="22" t="str">
        <f ca="1"/>
        <v>田泰安</v>
      </c>
      <c r="K35" s="22" t="str">
        <f ca="1"/>
        <v>黎海榮</v>
      </c>
      <c r="L35" s="22" t="str">
        <f ca="1"/>
        <v>梁家俊(-2)</v>
      </c>
      <c r="M35" s="22" t="str">
        <f ca="1"/>
        <v>黃皓楠(-7)</v>
      </c>
      <c r="N35" s="22" t="str">
        <f ca="1"/>
        <v>莫雷拉</v>
      </c>
      <c r="O35" s="22">
        <f ca="1"/>
        <v>0</v>
      </c>
      <c r="P35" s="22">
        <f ca="1"/>
        <v>0</v>
      </c>
      <c r="Q35" s="11"/>
      <c r="R35" s="6"/>
      <c r="S35" s="17"/>
    </row>
    <row r="36" spans="2:19" ht="15" x14ac:dyDescent="0.25">
      <c r="B36" s="23" t="s">
        <v>32</v>
      </c>
      <c r="C36" s="24">
        <f ca="1">VLOOKUP(IF(LEN(C35)&gt;3,LEFT(C35,3),C35),Jockey!$B$4:$C$54,2,FALSE)</f>
        <v>1.1000000000000001</v>
      </c>
      <c r="D36" s="24">
        <f ca="1">VLOOKUP(IF(LEN(D35)&gt;3,LEFT(D35,3),D35),Jockey!$B$4:$C$54,2,FALSE)</f>
        <v>1</v>
      </c>
      <c r="E36" s="24">
        <f ca="1">VLOOKUP(IF(LEN(E35)&gt;3,LEFT(E35,3),E35),Jockey!$B$4:$C$54,2,FALSE)</f>
        <v>1</v>
      </c>
      <c r="F36" s="24">
        <f ca="1">VLOOKUP(IF(LEN(F35)&gt;3,LEFT(F35,3),F35),Jockey!$B$4:$C$54,2,FALSE)</f>
        <v>0.85</v>
      </c>
      <c r="G36" s="24">
        <f ca="1">VLOOKUP(IF(LEN(G35)&gt;3,LEFT(G35,3),G35),Jockey!$B$4:$C$54,2,FALSE)</f>
        <v>1.05</v>
      </c>
      <c r="H36" s="24">
        <f ca="1">VLOOKUP(IF(LEN(H35)&gt;3,LEFT(H35,3),H35),Jockey!$B$4:$C$54,2,FALSE)</f>
        <v>0.85</v>
      </c>
      <c r="I36" s="24">
        <f ca="1">VLOOKUP(IF(LEN(I35)&gt;3,LEFT(I35,3),I35),Jockey!$B$4:$C$54,2,FALSE)</f>
        <v>1</v>
      </c>
      <c r="J36" s="24">
        <f ca="1">VLOOKUP(IF(LEN(J35)&gt;3,LEFT(J35,3),J35),Jockey!$B$4:$C$54,2,FALSE)</f>
        <v>1.05</v>
      </c>
      <c r="K36" s="24">
        <f ca="1">VLOOKUP(IF(LEN(K35)&gt;3,LEFT(K35,3),K35),Jockey!$B$4:$C$54,2,FALSE)</f>
        <v>0.95</v>
      </c>
      <c r="L36" s="24">
        <f ca="1">VLOOKUP(IF(LEN(L35)&gt;3,LEFT(L35,3),L35),Jockey!$B$4:$C$54,2,FALSE)</f>
        <v>0.9</v>
      </c>
      <c r="M36" s="24">
        <f ca="1">VLOOKUP(IF(LEN(M35)&gt;3,LEFT(M35,3),M35),Jockey!$B$4:$C$54,2,FALSE)</f>
        <v>0.8</v>
      </c>
      <c r="N36" s="24">
        <f ca="1">VLOOKUP(IF(LEN(N35)&gt;3,LEFT(N35,3),N35),Jockey!$B$4:$C$54,2,FALSE)</f>
        <v>1.1000000000000001</v>
      </c>
      <c r="O36" s="24" t="e">
        <f ca="1">VLOOKUP(IF(LEN(O35)&gt;3,LEFT(O35,3),O35),Jockey!$B$4:$C$54,2,FALSE)</f>
        <v>#N/A</v>
      </c>
      <c r="P36" s="24" t="e">
        <f ca="1">VLOOKUP(IF(LEN(P35)&gt;3,LEFT(P35,3),P35),Jockey!$B$4:$C$54,2,FALSE)</f>
        <v>#N/A</v>
      </c>
      <c r="Q36" s="11"/>
      <c r="R36" s="6">
        <v>0</v>
      </c>
      <c r="S36" s="17" t="s">
        <v>33</v>
      </c>
    </row>
    <row r="37" spans="2:19" ht="15" x14ac:dyDescent="0.25">
      <c r="B37" s="23" t="s">
        <v>34</v>
      </c>
      <c r="C37" s="25">
        <f t="array" aca="1" ref="C37:P37" ca="1">TRANSPOSE(INDIRECT("'R"&amp;$C$5&amp;"'!$G$3:$G$16"))</f>
        <v>127</v>
      </c>
      <c r="D37" s="25">
        <f ca="1"/>
        <v>126</v>
      </c>
      <c r="E37" s="25">
        <f ca="1"/>
        <v>126</v>
      </c>
      <c r="F37" s="25">
        <f ca="1"/>
        <v>123</v>
      </c>
      <c r="G37" s="25">
        <f ca="1"/>
        <v>121</v>
      </c>
      <c r="H37" s="25">
        <f ca="1"/>
        <v>119</v>
      </c>
      <c r="I37" s="25">
        <f ca="1"/>
        <v>119</v>
      </c>
      <c r="J37" s="25">
        <f ca="1"/>
        <v>118</v>
      </c>
      <c r="K37" s="25">
        <f ca="1"/>
        <v>118</v>
      </c>
      <c r="L37" s="25">
        <f ca="1"/>
        <v>117</v>
      </c>
      <c r="M37" s="25">
        <f ca="1"/>
        <v>114</v>
      </c>
      <c r="N37" s="25">
        <f ca="1"/>
        <v>114</v>
      </c>
      <c r="O37" s="25">
        <f ca="1"/>
        <v>0</v>
      </c>
      <c r="P37" s="25">
        <f ca="1"/>
        <v>0</v>
      </c>
      <c r="Q37" s="11"/>
      <c r="R37" s="6"/>
      <c r="S37" s="17"/>
    </row>
    <row r="38" spans="2:19" ht="15" x14ac:dyDescent="0.25">
      <c r="B38" s="23" t="s">
        <v>35</v>
      </c>
      <c r="C38" s="26">
        <f t="shared" ref="C38:J38" ca="1" si="6">IFERROR(C37-VALUE(LEFT(RIGHT(C35,LEN(C35)-FIND("-",C35)),LEN(C35)-FIND("-",C35)-1)),C37)</f>
        <v>127</v>
      </c>
      <c r="D38" s="26">
        <f t="shared" ca="1" si="6"/>
        <v>126</v>
      </c>
      <c r="E38" s="26">
        <f t="shared" ca="1" si="6"/>
        <v>126</v>
      </c>
      <c r="F38" s="26">
        <f t="shared" ca="1" si="6"/>
        <v>121</v>
      </c>
      <c r="G38" s="26">
        <f t="shared" ca="1" si="6"/>
        <v>121</v>
      </c>
      <c r="H38" s="26">
        <f t="shared" ca="1" si="6"/>
        <v>117</v>
      </c>
      <c r="I38" s="26">
        <f t="shared" ca="1" si="6"/>
        <v>119</v>
      </c>
      <c r="J38" s="26">
        <f t="shared" ca="1" si="6"/>
        <v>118</v>
      </c>
      <c r="K38" s="26">
        <f ca="1">IFERROR(K37-VALUE(LEFT(RIGHT(K35,LEN(K35)-FIND("-",K35)),LEN(K35)-FIND("-",K35)-1)),K37)</f>
        <v>118</v>
      </c>
      <c r="L38" s="26">
        <f t="shared" ref="L38:P38" ca="1" si="7">IFERROR(L37-VALUE(LEFT(RIGHT(L35,LEN(L35)-FIND("-",L35)),LEN(L35)-FIND("-",L35)-1)),L37)</f>
        <v>115</v>
      </c>
      <c r="M38" s="26">
        <f t="shared" ca="1" si="7"/>
        <v>107</v>
      </c>
      <c r="N38" s="26">
        <f t="shared" ca="1" si="7"/>
        <v>114</v>
      </c>
      <c r="O38" s="26">
        <f t="shared" ca="1" si="7"/>
        <v>0</v>
      </c>
      <c r="P38" s="26">
        <f t="shared" ca="1" si="7"/>
        <v>0</v>
      </c>
      <c r="Q38" s="11"/>
      <c r="R38" s="6"/>
      <c r="S38" s="17" t="s">
        <v>36</v>
      </c>
    </row>
    <row r="39" spans="2:19" ht="15" x14ac:dyDescent="0.25">
      <c r="B39" s="23" t="s">
        <v>200</v>
      </c>
      <c r="C39" s="25">
        <v>0</v>
      </c>
      <c r="D39" s="25">
        <f t="shared" ref="D39:P39" ca="1" si="8">MAX($C$38:$P$38)-D38</f>
        <v>1</v>
      </c>
      <c r="E39" s="25">
        <f t="shared" ca="1" si="8"/>
        <v>1</v>
      </c>
      <c r="F39" s="25">
        <f t="shared" ca="1" si="8"/>
        <v>6</v>
      </c>
      <c r="G39" s="25">
        <f t="shared" ca="1" si="8"/>
        <v>6</v>
      </c>
      <c r="H39" s="25">
        <f t="shared" ca="1" si="8"/>
        <v>10</v>
      </c>
      <c r="I39" s="25">
        <f t="shared" ca="1" si="8"/>
        <v>8</v>
      </c>
      <c r="J39" s="25">
        <f t="shared" ca="1" si="8"/>
        <v>9</v>
      </c>
      <c r="K39" s="25">
        <f t="shared" ca="1" si="8"/>
        <v>9</v>
      </c>
      <c r="L39" s="25">
        <f t="shared" ca="1" si="8"/>
        <v>12</v>
      </c>
      <c r="M39" s="25">
        <f t="shared" ca="1" si="8"/>
        <v>20</v>
      </c>
      <c r="N39" s="25">
        <f t="shared" ca="1" si="8"/>
        <v>13</v>
      </c>
      <c r="O39" s="25">
        <f t="shared" ca="1" si="8"/>
        <v>127</v>
      </c>
      <c r="P39" s="25">
        <f t="shared" ca="1" si="8"/>
        <v>127</v>
      </c>
      <c r="Q39" s="11"/>
      <c r="R39" s="6">
        <v>0</v>
      </c>
      <c r="S39" s="17" t="s">
        <v>37</v>
      </c>
    </row>
    <row r="40" spans="2:19" ht="15" x14ac:dyDescent="0.25">
      <c r="B40" s="23" t="s">
        <v>974</v>
      </c>
      <c r="C40" s="28">
        <f ca="1">VLOOKUP(IFERROR(LEFT(C35,FIND("(",C35)-1),C35),JkcStat!$C$39:$F$55,4,0)</f>
        <v>1.8922558922558921</v>
      </c>
      <c r="D40" s="28">
        <f ca="1">VLOOKUP(IFERROR(LEFT(D35,FIND("(",D35)-1),D35),JkcStat!$C$39:$F$55,4,0)</f>
        <v>1.1461279461279463</v>
      </c>
      <c r="E40" s="28">
        <f ca="1">VLOOKUP(IFERROR(LEFT(E35,FIND("(",E35)-1),E35),JkcStat!$C$39:$F$55,4,0)</f>
        <v>0.76363636363636367</v>
      </c>
      <c r="F40" s="28">
        <f ca="1">VLOOKUP(IFERROR(LEFT(F35,FIND("(",F35)-1),F35),JkcStat!$C$39:$F$55,4,0)</f>
        <v>0.26666666666666666</v>
      </c>
      <c r="G40" s="28">
        <f ca="1">VLOOKUP(IFERROR(LEFT(G35,FIND("(",G35)-1),G35),JkcStat!$C$39:$F$55,4,0)</f>
        <v>1.1434343434343435</v>
      </c>
      <c r="H40" s="28">
        <f ca="1">VLOOKUP(IFERROR(LEFT(H35,FIND("(",H35)-1),H35),JkcStat!$C$39:$F$55,4,0)</f>
        <v>0.87542087542087543</v>
      </c>
      <c r="I40" s="28">
        <f ca="1">VLOOKUP(IFERROR(LEFT(I35,FIND("(",I35)-1),I35),JkcStat!$C$39:$F$55,4,0)</f>
        <v>1.6989898989898988</v>
      </c>
      <c r="J40" s="28">
        <f ca="1">VLOOKUP(IFERROR(LEFT(J35,FIND("(",J35)-1),J35),JkcStat!$C$39:$F$55,4,0)</f>
        <v>1.0484848484848486</v>
      </c>
      <c r="K40" s="28">
        <f ca="1">VLOOKUP(IFERROR(LEFT(K35,FIND("(",K35)-1),K35),JkcStat!$C$39:$F$55,4,0)</f>
        <v>0.32996632996632996</v>
      </c>
      <c r="L40" s="28">
        <f ca="1">VLOOKUP(IFERROR(LEFT(L35,FIND("(",L35)-1),L35),JkcStat!$C$39:$F$55,4,0)</f>
        <v>1.3090909090909089</v>
      </c>
      <c r="M40" s="28">
        <f ca="1">VLOOKUP(IFERROR(LEFT(M35,FIND("(",M35)-1),M35),JkcStat!$C$39:$F$55,4,0)</f>
        <v>0.13333333333333333</v>
      </c>
      <c r="N40" s="28">
        <f ca="1">VLOOKUP(IFERROR(LEFT(N35,FIND("(",N35)-1),N35),JkcStat!$C$39:$F$55,4,0)</f>
        <v>5.0161616161616163</v>
      </c>
      <c r="O40" s="25"/>
      <c r="P40" s="25"/>
      <c r="Q40" s="11"/>
      <c r="R40" s="6">
        <v>0</v>
      </c>
      <c r="S40" s="17"/>
    </row>
    <row r="41" spans="2:19" ht="15" x14ac:dyDescent="0.25">
      <c r="B41" s="23" t="s">
        <v>981</v>
      </c>
      <c r="C41" s="71">
        <f ca="1">C40/SUM(OFFSET($C$40,0,0,1,$C$11))</f>
        <v>0.12111546916081203</v>
      </c>
      <c r="D41" s="71">
        <f t="shared" ref="D41:P41" ca="1" si="9">D40/SUM(OFFSET($C$40,0,0,1,$C$11))</f>
        <v>7.3358906943666244E-2</v>
      </c>
      <c r="E41" s="71">
        <f t="shared" ca="1" si="9"/>
        <v>4.8877203568811693E-2</v>
      </c>
      <c r="F41" s="71">
        <f t="shared" ca="1" si="9"/>
        <v>1.7068229817680275E-2</v>
      </c>
      <c r="G41" s="71">
        <f t="shared" ca="1" si="9"/>
        <v>7.3186500581871483E-2</v>
      </c>
      <c r="H41" s="71">
        <f t="shared" ca="1" si="9"/>
        <v>5.6032067583293828E-2</v>
      </c>
      <c r="I41" s="71">
        <f t="shared" ca="1" si="9"/>
        <v>0.1087453127020387</v>
      </c>
      <c r="J41" s="71">
        <f t="shared" ca="1" si="9"/>
        <v>6.7109176328606537E-2</v>
      </c>
      <c r="K41" s="71">
        <f t="shared" ca="1" si="9"/>
        <v>2.1119779319856903E-2</v>
      </c>
      <c r="L41" s="71">
        <f t="shared" ca="1" si="9"/>
        <v>8.3789491832248597E-2</v>
      </c>
      <c r="M41" s="71">
        <f t="shared" ca="1" si="9"/>
        <v>8.5341149088401375E-3</v>
      </c>
      <c r="N41" s="71">
        <f t="shared" ca="1" si="9"/>
        <v>0.32106374725227366</v>
      </c>
      <c r="O41" s="71">
        <f t="shared" ca="1" si="9"/>
        <v>0</v>
      </c>
      <c r="P41" s="71">
        <f t="shared" ca="1" si="9"/>
        <v>0</v>
      </c>
      <c r="Q41" s="11"/>
      <c r="R41" s="6">
        <v>0.2</v>
      </c>
      <c r="S41" s="17"/>
    </row>
    <row r="42" spans="2:19" ht="15" outlineLevel="1" x14ac:dyDescent="0.25">
      <c r="B42" s="27" t="s">
        <v>38</v>
      </c>
      <c r="C42" s="25">
        <f t="array" aca="1" ref="C42:P42" ca="1">TRANSPOSE(INDIRECT("'R"&amp;$C$5&amp;"'!$N$3:$N$16"))</f>
        <v>1103</v>
      </c>
      <c r="D42" s="25">
        <f ca="1"/>
        <v>1157</v>
      </c>
      <c r="E42" s="25">
        <f ca="1"/>
        <v>1169</v>
      </c>
      <c r="F42" s="25">
        <f ca="1"/>
        <v>1120</v>
      </c>
      <c r="G42" s="25">
        <f ca="1"/>
        <v>1180</v>
      </c>
      <c r="H42" s="25">
        <f ca="1"/>
        <v>1082</v>
      </c>
      <c r="I42" s="25">
        <f ca="1"/>
        <v>1066</v>
      </c>
      <c r="J42" s="25">
        <f ca="1"/>
        <v>1135</v>
      </c>
      <c r="K42" s="25">
        <f ca="1"/>
        <v>1182</v>
      </c>
      <c r="L42" s="25">
        <f ca="1"/>
        <v>1219</v>
      </c>
      <c r="M42" s="25">
        <f ca="1"/>
        <v>1110</v>
      </c>
      <c r="N42" s="25">
        <f ca="1"/>
        <v>1093</v>
      </c>
      <c r="O42" s="25">
        <f ca="1"/>
        <v>0</v>
      </c>
      <c r="P42" s="25">
        <f ca="1"/>
        <v>0</v>
      </c>
      <c r="Q42" s="11"/>
      <c r="R42" s="6"/>
      <c r="S42" s="17"/>
    </row>
    <row r="43" spans="2:19" ht="15" outlineLevel="1" x14ac:dyDescent="0.25">
      <c r="B43" s="49" t="s">
        <v>199</v>
      </c>
      <c r="C43" s="50">
        <f t="shared" ref="C43:O43" ca="1" si="10">(INDEX(INDIRECT("R"&amp;$C$5&amp;"!M3:M18"),MATCH(C23,INDIRECT("R"&amp;$C$5&amp;"!E3:E18"),0)))</f>
        <v>2</v>
      </c>
      <c r="D43" s="50">
        <f t="shared" ca="1" si="10"/>
        <v>1</v>
      </c>
      <c r="E43" s="50">
        <f t="shared" ca="1" si="10"/>
        <v>2</v>
      </c>
      <c r="F43" s="50">
        <f t="shared" ca="1" si="10"/>
        <v>8</v>
      </c>
      <c r="G43" s="50">
        <f t="shared" ca="1" si="10"/>
        <v>0</v>
      </c>
      <c r="H43" s="50">
        <f t="shared" ca="1" si="10"/>
        <v>-5</v>
      </c>
      <c r="I43" s="50">
        <f t="shared" ca="1" si="10"/>
        <v>0</v>
      </c>
      <c r="J43" s="50">
        <f t="shared" ca="1" si="10"/>
        <v>-5</v>
      </c>
      <c r="K43" s="50">
        <f t="shared" ca="1" si="10"/>
        <v>-2</v>
      </c>
      <c r="L43" s="50">
        <f t="shared" ca="1" si="10"/>
        <v>-2</v>
      </c>
      <c r="M43" s="50">
        <f t="shared" ca="1" si="10"/>
        <v>0</v>
      </c>
      <c r="N43" s="50">
        <f t="shared" ca="1" si="10"/>
        <v>-3</v>
      </c>
      <c r="O43" s="50" t="e">
        <f t="shared" ca="1" si="10"/>
        <v>#N/A</v>
      </c>
      <c r="P43" s="50">
        <f ca="1">1+IFERROR(INDEX(INDIRECT("R"&amp;$C$5&amp;"!M3:M18"),MATCH(P23,INDIRECT("R"&amp;$C$5&amp;"!E3:E18"),0))/4,0)*0.1</f>
        <v>1</v>
      </c>
      <c r="Q43" s="11"/>
      <c r="R43" s="6">
        <v>0</v>
      </c>
      <c r="S43" s="17" t="s">
        <v>39</v>
      </c>
    </row>
    <row r="44" spans="2:19" ht="15" outlineLevel="1" x14ac:dyDescent="0.25">
      <c r="B44" s="49" t="s">
        <v>198</v>
      </c>
      <c r="C44" s="50">
        <f t="shared" ref="C44:P44" ca="1" si="11">INDEX(INDIRECT("R"&amp;$C$5&amp;"!L3:L18"),C22)</f>
        <v>74</v>
      </c>
      <c r="D44" s="50">
        <f t="shared" ca="1" si="11"/>
        <v>73</v>
      </c>
      <c r="E44" s="50">
        <f t="shared" ca="1" si="11"/>
        <v>73</v>
      </c>
      <c r="F44" s="50">
        <f t="shared" ca="1" si="11"/>
        <v>70</v>
      </c>
      <c r="G44" s="50">
        <f t="shared" ca="1" si="11"/>
        <v>68</v>
      </c>
      <c r="H44" s="50">
        <f t="shared" ca="1" si="11"/>
        <v>66</v>
      </c>
      <c r="I44" s="50">
        <f t="shared" ca="1" si="11"/>
        <v>66</v>
      </c>
      <c r="J44" s="50">
        <f t="shared" ca="1" si="11"/>
        <v>65</v>
      </c>
      <c r="K44" s="50">
        <f t="shared" ca="1" si="11"/>
        <v>65</v>
      </c>
      <c r="L44" s="50">
        <f t="shared" ca="1" si="11"/>
        <v>64</v>
      </c>
      <c r="M44" s="50">
        <f t="shared" ca="1" si="11"/>
        <v>61</v>
      </c>
      <c r="N44" s="50">
        <f t="shared" ca="1" si="11"/>
        <v>61</v>
      </c>
      <c r="O44" s="50">
        <f t="shared" ca="1" si="11"/>
        <v>0</v>
      </c>
      <c r="P44" s="50">
        <f t="shared" ca="1" si="11"/>
        <v>0</v>
      </c>
      <c r="Q44" s="11"/>
      <c r="R44" s="6"/>
      <c r="S44" s="17"/>
    </row>
    <row r="45" spans="2:19" ht="15" outlineLevel="1" x14ac:dyDescent="0.25">
      <c r="B45" s="49" t="s">
        <v>201</v>
      </c>
      <c r="C45" s="50">
        <f ca="1">MAX($C44:$P44)-C44</f>
        <v>0</v>
      </c>
      <c r="D45" s="50">
        <f t="shared" ref="D45:O45" ca="1" si="12">MAX($C44:$P44)-D44</f>
        <v>1</v>
      </c>
      <c r="E45" s="50">
        <f t="shared" ca="1" si="12"/>
        <v>1</v>
      </c>
      <c r="F45" s="50">
        <f t="shared" ca="1" si="12"/>
        <v>4</v>
      </c>
      <c r="G45" s="50">
        <f t="shared" ca="1" si="12"/>
        <v>6</v>
      </c>
      <c r="H45" s="50">
        <f t="shared" ca="1" si="12"/>
        <v>8</v>
      </c>
      <c r="I45" s="50">
        <f t="shared" ca="1" si="12"/>
        <v>8</v>
      </c>
      <c r="J45" s="50">
        <f t="shared" ca="1" si="12"/>
        <v>9</v>
      </c>
      <c r="K45" s="50">
        <f t="shared" ca="1" si="12"/>
        <v>9</v>
      </c>
      <c r="L45" s="50">
        <f t="shared" ca="1" si="12"/>
        <v>10</v>
      </c>
      <c r="M45" s="50">
        <f t="shared" ca="1" si="12"/>
        <v>13</v>
      </c>
      <c r="N45" s="50">
        <f t="shared" ca="1" si="12"/>
        <v>13</v>
      </c>
      <c r="O45" s="50">
        <f t="shared" ca="1" si="12"/>
        <v>74</v>
      </c>
      <c r="P45" s="50">
        <f ca="1">MAX($C44:$P44)-P44</f>
        <v>74</v>
      </c>
      <c r="Q45" s="11"/>
      <c r="R45" s="6"/>
      <c r="S45" s="17"/>
    </row>
    <row r="46" spans="2:19" ht="15" outlineLevel="1" x14ac:dyDescent="0.25">
      <c r="B46" s="51" t="s">
        <v>202</v>
      </c>
      <c r="C46" s="52">
        <f ca="1">(C39-C45)*C36</f>
        <v>0</v>
      </c>
      <c r="D46" s="52">
        <f t="shared" ref="D46:P46" ca="1" si="13">(D39-D45)*D36</f>
        <v>0</v>
      </c>
      <c r="E46" s="52">
        <f t="shared" ca="1" si="13"/>
        <v>0</v>
      </c>
      <c r="F46" s="52">
        <f t="shared" ca="1" si="13"/>
        <v>1.7</v>
      </c>
      <c r="G46" s="52">
        <f t="shared" ca="1" si="13"/>
        <v>0</v>
      </c>
      <c r="H46" s="52">
        <f t="shared" ca="1" si="13"/>
        <v>1.7</v>
      </c>
      <c r="I46" s="52">
        <f t="shared" ca="1" si="13"/>
        <v>0</v>
      </c>
      <c r="J46" s="52">
        <f t="shared" ca="1" si="13"/>
        <v>0</v>
      </c>
      <c r="K46" s="52">
        <f t="shared" ca="1" si="13"/>
        <v>0</v>
      </c>
      <c r="L46" s="52">
        <f t="shared" ca="1" si="13"/>
        <v>1.8</v>
      </c>
      <c r="M46" s="52">
        <f t="shared" ca="1" si="13"/>
        <v>5.6000000000000005</v>
      </c>
      <c r="N46" s="52">
        <f t="shared" ca="1" si="13"/>
        <v>0</v>
      </c>
      <c r="O46" s="52" t="e">
        <f t="shared" ca="1" si="13"/>
        <v>#N/A</v>
      </c>
      <c r="P46" s="52" t="e">
        <f t="shared" ca="1" si="13"/>
        <v>#N/A</v>
      </c>
      <c r="Q46" s="11"/>
      <c r="R46" s="6">
        <v>0</v>
      </c>
      <c r="S46" s="17"/>
    </row>
    <row r="47" spans="2:19" ht="15" x14ac:dyDescent="0.25">
      <c r="B47" s="23" t="s">
        <v>42</v>
      </c>
      <c r="C47" s="24">
        <f ca="1">--(IFERROR(MATCH(C$23&amp;" +",OFFSET(Trainer!$G$6,0,$C$5-1,40,1),0),0)&gt;0)</f>
        <v>0</v>
      </c>
      <c r="D47" s="24">
        <f ca="1">--(IFERROR(MATCH(D$23&amp;" +",OFFSET(Trainer!$G$6,0,$C$5-1,40,1),0),0)&gt;0)</f>
        <v>0</v>
      </c>
      <c r="E47" s="24">
        <f ca="1">--(IFERROR(MATCH(E$23&amp;" +",OFFSET(Trainer!$G$6,0,$C$5-1,40,1),0),0)&gt;0)</f>
        <v>0</v>
      </c>
      <c r="F47" s="24">
        <f ca="1">--(IFERROR(MATCH(F$23&amp;" +",OFFSET(Trainer!$G$6,0,$C$5-1,40,1),0),0)&gt;0)</f>
        <v>0</v>
      </c>
      <c r="G47" s="24">
        <f ca="1">--(IFERROR(MATCH(G$23&amp;" +",OFFSET(Trainer!$G$6,0,$C$5-1,40,1),0),0)&gt;0)</f>
        <v>0</v>
      </c>
      <c r="H47" s="24">
        <f ca="1">--(IFERROR(MATCH(H$23&amp;" +",OFFSET(Trainer!$G$6,0,$C$5-1,40,1),0),0)&gt;0)</f>
        <v>0</v>
      </c>
      <c r="I47" s="24">
        <f ca="1">--(IFERROR(MATCH(I$23&amp;" +",OFFSET(Trainer!$G$6,0,$C$5-1,40,1),0),0)&gt;0)</f>
        <v>0</v>
      </c>
      <c r="J47" s="24">
        <f ca="1">--(IFERROR(MATCH(J$23&amp;" +",OFFSET(Trainer!$G$6,0,$C$5-1,40,1),0),0)&gt;0)</f>
        <v>0</v>
      </c>
      <c r="K47" s="24">
        <f ca="1">--(IFERROR(MATCH(K$23&amp;" +",OFFSET(Trainer!$G$6,0,$C$5-1,40,1),0),0)&gt;0)</f>
        <v>0</v>
      </c>
      <c r="L47" s="24">
        <f ca="1">--(IFERROR(MATCH(L$23&amp;" +",OFFSET(Trainer!$G$6,0,$C$5-1,40,1),0),0)&gt;0)</f>
        <v>0</v>
      </c>
      <c r="M47" s="24">
        <f ca="1">--(IFERROR(MATCH(M$23&amp;" +",OFFSET(Trainer!$G$6,0,$C$5-1,40,1),0),0)&gt;0)</f>
        <v>0</v>
      </c>
      <c r="N47" s="24">
        <f ca="1">--(IFERROR(MATCH(N$23&amp;" +",OFFSET(Trainer!$G$6,0,$C$5-1,40,1),0),0)&gt;0)</f>
        <v>0</v>
      </c>
      <c r="O47" s="24">
        <f ca="1">--(IFERROR(MATCH(O$23&amp;" +",OFFSET(Trainer!$G$6,0,$C$5-1,40,1),0),0)&gt;0)</f>
        <v>0</v>
      </c>
      <c r="P47" s="24">
        <f ca="1">--(IFERROR(MATCH(P$23&amp;" +",OFFSET(Trainer!$G$6,0,$C$5-1,40,1),0),0)&gt;0)</f>
        <v>0</v>
      </c>
      <c r="Q47" s="11"/>
      <c r="R47" s="6">
        <v>0</v>
      </c>
      <c r="S47" s="17" t="s">
        <v>43</v>
      </c>
    </row>
    <row r="48" spans="2:19" ht="15" x14ac:dyDescent="0.25">
      <c r="B48" s="23" t="s">
        <v>982</v>
      </c>
      <c r="C48" s="72">
        <f ca="1">IF(C25=0,0,1/12+IF(C47=1,1,-1)*0.2/COUNTIF(OFFSET($C$47,0,0,1,$C$11),C47))</f>
        <v>6.6666666666666666E-2</v>
      </c>
      <c r="D48" s="72">
        <f t="shared" ref="D48:P48" ca="1" si="14">IF(D25=0,0,1/12+IF(D47=1,1,-1)*0.2/COUNTIF(OFFSET($C$47,0,0,1,$C$11),D47))</f>
        <v>6.6666666666666666E-2</v>
      </c>
      <c r="E48" s="72">
        <f t="shared" ca="1" si="14"/>
        <v>6.6666666666666666E-2</v>
      </c>
      <c r="F48" s="72">
        <f t="shared" ca="1" si="14"/>
        <v>6.6666666666666666E-2</v>
      </c>
      <c r="G48" s="72">
        <f t="shared" ca="1" si="14"/>
        <v>6.6666666666666666E-2</v>
      </c>
      <c r="H48" s="72">
        <f t="shared" ca="1" si="14"/>
        <v>6.6666666666666666E-2</v>
      </c>
      <c r="I48" s="72">
        <f t="shared" ca="1" si="14"/>
        <v>6.6666666666666666E-2</v>
      </c>
      <c r="J48" s="72">
        <f t="shared" ca="1" si="14"/>
        <v>6.6666666666666666E-2</v>
      </c>
      <c r="K48" s="72">
        <f t="shared" ca="1" si="14"/>
        <v>6.6666666666666666E-2</v>
      </c>
      <c r="L48" s="72">
        <f t="shared" ca="1" si="14"/>
        <v>6.6666666666666666E-2</v>
      </c>
      <c r="M48" s="72">
        <f t="shared" ca="1" si="14"/>
        <v>6.6666666666666666E-2</v>
      </c>
      <c r="N48" s="72">
        <f t="shared" ca="1" si="14"/>
        <v>6.6666666666666666E-2</v>
      </c>
      <c r="O48" s="24">
        <f t="shared" ca="1" si="14"/>
        <v>0</v>
      </c>
      <c r="P48" s="24">
        <f t="shared" ca="1" si="14"/>
        <v>0</v>
      </c>
      <c r="Q48" s="11"/>
      <c r="R48" s="6">
        <v>0.2</v>
      </c>
      <c r="S48" s="17"/>
    </row>
    <row r="49" spans="1:19" ht="15" hidden="1" outlineLevel="1" x14ac:dyDescent="0.25">
      <c r="B49" s="23" t="s">
        <v>44</v>
      </c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 t="e">
        <v>#DIV/0!</v>
      </c>
      <c r="P49" s="28" t="e">
        <v>#DIV/0!</v>
      </c>
      <c r="Q49" s="11"/>
      <c r="R49" s="6">
        <v>0</v>
      </c>
      <c r="S49" s="17" t="s">
        <v>45</v>
      </c>
    </row>
    <row r="50" spans="1:19" ht="15" hidden="1" outlineLevel="1" x14ac:dyDescent="0.25">
      <c r="B50" s="23" t="s">
        <v>46</v>
      </c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 t="e">
        <v>#DIV/0!</v>
      </c>
      <c r="P50" s="28" t="e">
        <v>#DIV/0!</v>
      </c>
      <c r="Q50" s="11"/>
      <c r="R50" s="6">
        <v>0</v>
      </c>
      <c r="S50" s="17" t="s">
        <v>47</v>
      </c>
    </row>
    <row r="51" spans="1:19" ht="15" hidden="1" outlineLevel="1" x14ac:dyDescent="0.25">
      <c r="B51" s="23" t="s">
        <v>48</v>
      </c>
      <c r="C51" s="24">
        <f t="shared" ref="C51:P51" ca="1" si="15">IFERROR(IF(C49&lt;=3,1.5,IF(C49&lt;=4,1.2,IF(C49&lt;=6,0.8,IF(C49&lt;=8,0.4,0)))),0)*C36</f>
        <v>1.6500000000000001</v>
      </c>
      <c r="D51" s="24">
        <f t="shared" ca="1" si="15"/>
        <v>1.5</v>
      </c>
      <c r="E51" s="24">
        <f t="shared" ca="1" si="15"/>
        <v>1.5</v>
      </c>
      <c r="F51" s="24">
        <f t="shared" ca="1" si="15"/>
        <v>1.2749999999999999</v>
      </c>
      <c r="G51" s="24">
        <f t="shared" ca="1" si="15"/>
        <v>1.5750000000000002</v>
      </c>
      <c r="H51" s="24">
        <f t="shared" ca="1" si="15"/>
        <v>1.2749999999999999</v>
      </c>
      <c r="I51" s="24">
        <f t="shared" ca="1" si="15"/>
        <v>1.5</v>
      </c>
      <c r="J51" s="24">
        <f t="shared" ca="1" si="15"/>
        <v>1.5750000000000002</v>
      </c>
      <c r="K51" s="24">
        <f t="shared" ca="1" si="15"/>
        <v>1.4249999999999998</v>
      </c>
      <c r="L51" s="24">
        <f t="shared" ca="1" si="15"/>
        <v>1.35</v>
      </c>
      <c r="M51" s="24">
        <f t="shared" ca="1" si="15"/>
        <v>1.2000000000000002</v>
      </c>
      <c r="N51" s="24">
        <f t="shared" ca="1" si="15"/>
        <v>1.6500000000000001</v>
      </c>
      <c r="O51" s="24" t="e">
        <f t="shared" ca="1" si="15"/>
        <v>#N/A</v>
      </c>
      <c r="P51" s="24" t="e">
        <f t="shared" ca="1" si="15"/>
        <v>#N/A</v>
      </c>
      <c r="Q51" s="11"/>
      <c r="R51" s="6">
        <v>0</v>
      </c>
      <c r="S51" s="17" t="s">
        <v>49</v>
      </c>
    </row>
    <row r="52" spans="1:19" ht="15" hidden="1" outlineLevel="1" x14ac:dyDescent="0.25">
      <c r="A52" s="2">
        <f>MIN($B$38)</f>
        <v>0</v>
      </c>
      <c r="B52" s="23" t="s">
        <v>50</v>
      </c>
      <c r="C52" s="24">
        <f t="shared" ref="C52:P52" si="16">IFERROR(IF(C50=0,0,IF(C50&lt;=3,1.5,IF(C50&lt;=4,1.1,IF(C50&lt;=6,0.8,IF(C50&lt;=8,0.4,0))))),0)</f>
        <v>0</v>
      </c>
      <c r="D52" s="24">
        <f t="shared" si="16"/>
        <v>0</v>
      </c>
      <c r="E52" s="24">
        <f t="shared" si="16"/>
        <v>0</v>
      </c>
      <c r="F52" s="24">
        <f t="shared" si="16"/>
        <v>0</v>
      </c>
      <c r="G52" s="24">
        <f t="shared" si="16"/>
        <v>0</v>
      </c>
      <c r="H52" s="24">
        <f t="shared" si="16"/>
        <v>0</v>
      </c>
      <c r="I52" s="24">
        <f t="shared" si="16"/>
        <v>0</v>
      </c>
      <c r="J52" s="24">
        <f t="shared" si="16"/>
        <v>0</v>
      </c>
      <c r="K52" s="24">
        <f t="shared" si="16"/>
        <v>0</v>
      </c>
      <c r="L52" s="24">
        <f t="shared" si="16"/>
        <v>0</v>
      </c>
      <c r="M52" s="24">
        <f t="shared" si="16"/>
        <v>0</v>
      </c>
      <c r="N52" s="24">
        <f t="shared" si="16"/>
        <v>0</v>
      </c>
      <c r="O52" s="24">
        <f t="shared" si="16"/>
        <v>0</v>
      </c>
      <c r="P52" s="24">
        <f t="shared" si="16"/>
        <v>0</v>
      </c>
      <c r="Q52" s="11"/>
      <c r="R52" s="6">
        <v>0</v>
      </c>
      <c r="S52" s="17" t="s">
        <v>51</v>
      </c>
    </row>
    <row r="53" spans="1:19" ht="15" hidden="1" outlineLevel="1" x14ac:dyDescent="0.25">
      <c r="B53" s="23" t="s">
        <v>208</v>
      </c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11"/>
      <c r="R53" s="6"/>
      <c r="S53" s="17"/>
    </row>
    <row r="54" spans="1:19" ht="28.5" hidden="1" outlineLevel="1" collapsed="1" x14ac:dyDescent="0.25">
      <c r="B54" s="23" t="s">
        <v>40</v>
      </c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11"/>
      <c r="R54" s="6">
        <v>0</v>
      </c>
      <c r="S54" s="17" t="s">
        <v>41</v>
      </c>
    </row>
    <row r="55" spans="1:19" ht="15" collapsed="1" x14ac:dyDescent="0.25">
      <c r="B55" s="57" t="s">
        <v>403</v>
      </c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24"/>
      <c r="P55" s="24"/>
      <c r="Q55" s="11"/>
      <c r="R55" s="6"/>
      <c r="S55" s="17"/>
    </row>
    <row r="56" spans="1:19" ht="15" x14ac:dyDescent="0.25">
      <c r="B56" s="57" t="s">
        <v>404</v>
      </c>
      <c r="C56" s="56">
        <f ca="1">OFFSET(Gate!$H$2,MATCH(RaceModel!$C$5,Gate!$A$3:$A$143,0)+1+C$25,0)</f>
        <v>7</v>
      </c>
      <c r="D56" s="56">
        <f ca="1">OFFSET(Gate!$H$2,MATCH(RaceModel!$C$5,Gate!$A$3:$A$143,0)+1+D$25,0)</f>
        <v>8</v>
      </c>
      <c r="E56" s="56">
        <f ca="1">OFFSET(Gate!$H$2,MATCH(RaceModel!$C$5,Gate!$A$3:$A$143,0)+1+E$25,0)</f>
        <v>8</v>
      </c>
      <c r="F56" s="56">
        <f ca="1">OFFSET(Gate!$H$2,MATCH(RaceModel!$C$5,Gate!$A$3:$A$143,0)+1+F$25,0)</f>
        <v>7</v>
      </c>
      <c r="G56" s="56">
        <f ca="1">OFFSET(Gate!$H$2,MATCH(RaceModel!$C$5,Gate!$A$3:$A$143,0)+1+G$25,0)</f>
        <v>5</v>
      </c>
      <c r="H56" s="56">
        <f ca="1">OFFSET(Gate!$H$2,MATCH(RaceModel!$C$5,Gate!$A$3:$A$143,0)+1+H$25,0)</f>
        <v>12</v>
      </c>
      <c r="I56" s="56">
        <f ca="1">OFFSET(Gate!$H$2,MATCH(RaceModel!$C$5,Gate!$A$3:$A$143,0)+1+I$25,0)</f>
        <v>8</v>
      </c>
      <c r="J56" s="56">
        <f ca="1">OFFSET(Gate!$H$2,MATCH(RaceModel!$C$5,Gate!$A$3:$A$143,0)+1+J$25,0)</f>
        <v>10</v>
      </c>
      <c r="K56" s="56">
        <f ca="1">OFFSET(Gate!$H$2,MATCH(RaceModel!$C$5,Gate!$A$3:$A$143,0)+1+K$25,0)</f>
        <v>8</v>
      </c>
      <c r="L56" s="56">
        <f ca="1">OFFSET(Gate!$H$2,MATCH(RaceModel!$C$5,Gate!$A$3:$A$143,0)+1+L$25,0)</f>
        <v>7</v>
      </c>
      <c r="M56" s="56">
        <f ca="1">OFFSET(Gate!$H$2,MATCH(RaceModel!$C$5,Gate!$A$3:$A$143,0)+1+M$25,0)</f>
        <v>5</v>
      </c>
      <c r="N56" s="56">
        <f ca="1">OFFSET(Gate!$H$2,MATCH(RaceModel!$C$5,Gate!$A$3:$A$143,0)+1+N$25,0)</f>
        <v>15</v>
      </c>
      <c r="O56" s="24" t="str">
        <f ca="1">OFFSET(Gate!$H$2,MATCH(RaceModel!$C$5,Gate!$A$3:$A$143,0)+1+O$25,0)</f>
        <v>%</v>
      </c>
      <c r="P56" s="24" t="str">
        <f ca="1">OFFSET(Gate!$H$2,MATCH(RaceModel!$C$5,Gate!$A$3:$A$143,0)+1+P$25,0)</f>
        <v>%</v>
      </c>
      <c r="Q56" s="11"/>
      <c r="R56" s="6">
        <v>0</v>
      </c>
      <c r="S56" s="17"/>
    </row>
    <row r="57" spans="1:19" ht="15" x14ac:dyDescent="0.25">
      <c r="B57" s="57" t="s">
        <v>405</v>
      </c>
      <c r="C57" s="56">
        <f ca="1">OFFSET(Gate!$H$2,MATCH(RaceModel!$C$5,Gate!$A$3:$A$143,0)+1+C$25,1)</f>
        <v>13</v>
      </c>
      <c r="D57" s="56">
        <f ca="1">OFFSET(Gate!$H$2,MATCH(RaceModel!$C$5,Gate!$A$3:$A$143,0)+1+D$25,1)</f>
        <v>20</v>
      </c>
      <c r="E57" s="56">
        <f ca="1">OFFSET(Gate!$H$2,MATCH(RaceModel!$C$5,Gate!$A$3:$A$143,0)+1+E$25,1)</f>
        <v>18</v>
      </c>
      <c r="F57" s="56">
        <f ca="1">OFFSET(Gate!$H$2,MATCH(RaceModel!$C$5,Gate!$A$3:$A$143,0)+1+F$25,1)</f>
        <v>13</v>
      </c>
      <c r="G57" s="56">
        <f ca="1">OFFSET(Gate!$H$2,MATCH(RaceModel!$C$5,Gate!$A$3:$A$143,0)+1+G$25,1)</f>
        <v>13</v>
      </c>
      <c r="H57" s="56">
        <f ca="1">OFFSET(Gate!$H$2,MATCH(RaceModel!$C$5,Gate!$A$3:$A$143,0)+1+H$25,1)</f>
        <v>25</v>
      </c>
      <c r="I57" s="56">
        <f ca="1">OFFSET(Gate!$H$2,MATCH(RaceModel!$C$5,Gate!$A$3:$A$143,0)+1+I$25,1)</f>
        <v>12</v>
      </c>
      <c r="J57" s="56">
        <f ca="1">OFFSET(Gate!$H$2,MATCH(RaceModel!$C$5,Gate!$A$3:$A$143,0)+1+J$25,1)</f>
        <v>27</v>
      </c>
      <c r="K57" s="56">
        <f ca="1">OFFSET(Gate!$H$2,MATCH(RaceModel!$C$5,Gate!$A$3:$A$143,0)+1+K$25,1)</f>
        <v>15</v>
      </c>
      <c r="L57" s="56">
        <f ca="1">OFFSET(Gate!$H$2,MATCH(RaceModel!$C$5,Gate!$A$3:$A$143,0)+1+L$25,1)</f>
        <v>10</v>
      </c>
      <c r="M57" s="56">
        <f ca="1">OFFSET(Gate!$H$2,MATCH(RaceModel!$C$5,Gate!$A$3:$A$143,0)+1+M$25,1)</f>
        <v>17</v>
      </c>
      <c r="N57" s="56">
        <f ca="1">OFFSET(Gate!$H$2,MATCH(RaceModel!$C$5,Gate!$A$3:$A$143,0)+1+N$25,1)</f>
        <v>18</v>
      </c>
      <c r="O57" s="24" t="str">
        <f ca="1">OFFSET(Gate!$H$2,MATCH(RaceModel!$C$5,Gate!$A$3:$A$143,0)+1+O$25,1)</f>
        <v>%</v>
      </c>
      <c r="P57" s="24" t="str">
        <f ca="1">OFFSET(Gate!$H$2,MATCH(RaceModel!$C$5,Gate!$A$3:$A$143,0)+1+P$25,1)</f>
        <v>%</v>
      </c>
      <c r="Q57" s="11"/>
      <c r="R57" s="6"/>
      <c r="S57" s="17"/>
    </row>
    <row r="58" spans="1:19" ht="15" x14ac:dyDescent="0.25">
      <c r="B58" s="57" t="s">
        <v>406</v>
      </c>
      <c r="C58" s="56">
        <f ca="1">OFFSET(Gate!$H$2,MATCH(RaceModel!$C$5,Gate!$A$3:$A$143,0)+1+C$25,2)</f>
        <v>22</v>
      </c>
      <c r="D58" s="56">
        <f ca="1">OFFSET(Gate!$H$2,MATCH(RaceModel!$C$5,Gate!$A$3:$A$143,0)+1+D$25,2)</f>
        <v>32</v>
      </c>
      <c r="E58" s="56">
        <f ca="1">OFFSET(Gate!$H$2,MATCH(RaceModel!$C$5,Gate!$A$3:$A$143,0)+1+E$25,2)</f>
        <v>30</v>
      </c>
      <c r="F58" s="56">
        <f ca="1">OFFSET(Gate!$H$2,MATCH(RaceModel!$C$5,Gate!$A$3:$A$143,0)+1+F$25,2)</f>
        <v>17</v>
      </c>
      <c r="G58" s="56">
        <f ca="1">OFFSET(Gate!$H$2,MATCH(RaceModel!$C$5,Gate!$A$3:$A$143,0)+1+G$25,2)</f>
        <v>22</v>
      </c>
      <c r="H58" s="56">
        <f ca="1">OFFSET(Gate!$H$2,MATCH(RaceModel!$C$5,Gate!$A$3:$A$143,0)+1+H$25,2)</f>
        <v>39</v>
      </c>
      <c r="I58" s="56">
        <f ca="1">OFFSET(Gate!$H$2,MATCH(RaceModel!$C$5,Gate!$A$3:$A$143,0)+1+I$25,2)</f>
        <v>24</v>
      </c>
      <c r="J58" s="56">
        <f ca="1">OFFSET(Gate!$H$2,MATCH(RaceModel!$C$5,Gate!$A$3:$A$143,0)+1+J$25,2)</f>
        <v>32</v>
      </c>
      <c r="K58" s="56">
        <f ca="1">OFFSET(Gate!$H$2,MATCH(RaceModel!$C$5,Gate!$A$3:$A$143,0)+1+K$25,2)</f>
        <v>24</v>
      </c>
      <c r="L58" s="56">
        <f ca="1">OFFSET(Gate!$H$2,MATCH(RaceModel!$C$5,Gate!$A$3:$A$143,0)+1+L$25,2)</f>
        <v>17</v>
      </c>
      <c r="M58" s="56">
        <f ca="1">OFFSET(Gate!$H$2,MATCH(RaceModel!$C$5,Gate!$A$3:$A$143,0)+1+M$25,2)</f>
        <v>20</v>
      </c>
      <c r="N58" s="56">
        <f ca="1">OFFSET(Gate!$H$2,MATCH(RaceModel!$C$5,Gate!$A$3:$A$143,0)+1+N$25,2)</f>
        <v>27</v>
      </c>
      <c r="O58" s="24" t="str">
        <f ca="1">OFFSET(Gate!$H$2,MATCH(RaceModel!$C$5,Gate!$A$3:$A$143,0)+1+O$25,2)</f>
        <v>%</v>
      </c>
      <c r="P58" s="24" t="str">
        <f ca="1">OFFSET(Gate!$H$2,MATCH(RaceModel!$C$5,Gate!$A$3:$A$143,0)+1+P$25,2)</f>
        <v>%</v>
      </c>
      <c r="Q58" s="11"/>
      <c r="R58" s="6"/>
      <c r="S58" s="17"/>
    </row>
    <row r="59" spans="1:19" ht="15" x14ac:dyDescent="0.25">
      <c r="B59" s="57" t="s">
        <v>987</v>
      </c>
      <c r="C59" s="61">
        <f ca="1">(C56*3+C57*1)/500</f>
        <v>6.8000000000000005E-2</v>
      </c>
      <c r="D59" s="61">
        <f t="shared" ref="D59:P59" ca="1" si="17">(D56*3+D57*1)/500</f>
        <v>8.7999999999999995E-2</v>
      </c>
      <c r="E59" s="61">
        <f t="shared" ca="1" si="17"/>
        <v>8.4000000000000005E-2</v>
      </c>
      <c r="F59" s="61">
        <f t="shared" ca="1" si="17"/>
        <v>6.8000000000000005E-2</v>
      </c>
      <c r="G59" s="61">
        <f t="shared" ca="1" si="17"/>
        <v>5.6000000000000001E-2</v>
      </c>
      <c r="H59" s="61">
        <f t="shared" ca="1" si="17"/>
        <v>0.122</v>
      </c>
      <c r="I59" s="61">
        <f t="shared" ca="1" si="17"/>
        <v>7.1999999999999995E-2</v>
      </c>
      <c r="J59" s="61">
        <f t="shared" ca="1" si="17"/>
        <v>0.114</v>
      </c>
      <c r="K59" s="61">
        <f t="shared" ca="1" si="17"/>
        <v>7.8E-2</v>
      </c>
      <c r="L59" s="61">
        <f t="shared" ca="1" si="17"/>
        <v>6.2E-2</v>
      </c>
      <c r="M59" s="61">
        <f t="shared" ca="1" si="17"/>
        <v>6.4000000000000001E-2</v>
      </c>
      <c r="N59" s="61">
        <f t="shared" ca="1" si="17"/>
        <v>0.126</v>
      </c>
      <c r="O59" s="24" t="e">
        <f t="shared" ca="1" si="17"/>
        <v>#VALUE!</v>
      </c>
      <c r="P59" s="24" t="e">
        <f t="shared" ca="1" si="17"/>
        <v>#VALUE!</v>
      </c>
      <c r="Q59" s="11"/>
      <c r="R59" s="6">
        <v>0.2</v>
      </c>
      <c r="S59" s="17"/>
    </row>
    <row r="60" spans="1:19" ht="15" x14ac:dyDescent="0.25">
      <c r="B60" s="62" t="s">
        <v>939</v>
      </c>
      <c r="C60" s="63" t="str">
        <f t="array" aca="1" ref="C60:P60" ca="1">TRANSPOSE(INDIRECT("R"&amp;$C$5&amp;"!K3:K16"))</f>
        <v>蘇偉賢</v>
      </c>
      <c r="D60" s="63" t="str">
        <f ca="1"/>
        <v>徐雨石</v>
      </c>
      <c r="E60" s="63" t="str">
        <f ca="1"/>
        <v>沈集成</v>
      </c>
      <c r="F60" s="63" t="str">
        <f ca="1"/>
        <v>方嘉柏</v>
      </c>
      <c r="G60" s="63" t="str">
        <f ca="1"/>
        <v>容天鵬</v>
      </c>
      <c r="H60" s="63" t="str">
        <f ca="1"/>
        <v>吳定強</v>
      </c>
      <c r="I60" s="63" t="str">
        <f ca="1"/>
        <v>高伯新</v>
      </c>
      <c r="J60" s="63" t="str">
        <f ca="1"/>
        <v>苗禮德</v>
      </c>
      <c r="K60" s="63" t="str">
        <f ca="1"/>
        <v>李易達</v>
      </c>
      <c r="L60" s="63" t="str">
        <f ca="1"/>
        <v>姚本輝</v>
      </c>
      <c r="M60" s="63" t="str">
        <f ca="1"/>
        <v>蘇保羅</v>
      </c>
      <c r="N60" s="63" t="str">
        <f ca="1"/>
        <v>賀賢</v>
      </c>
      <c r="O60" s="24">
        <f ca="1"/>
        <v>0</v>
      </c>
      <c r="P60" s="24">
        <f ca="1"/>
        <v>0</v>
      </c>
      <c r="Q60" s="11"/>
      <c r="R60" s="6"/>
      <c r="S60" s="17"/>
    </row>
    <row r="61" spans="1:19" ht="15" x14ac:dyDescent="0.25">
      <c r="B61" s="62" t="s">
        <v>941</v>
      </c>
      <c r="C61" s="64">
        <f ca="1">MATCH(C60,Trainer!$B$6:$B$31,0)</f>
        <v>2</v>
      </c>
      <c r="D61" s="64">
        <f ca="1">MATCH(D60,Trainer!$B$6:$B$31,0)</f>
        <v>4</v>
      </c>
      <c r="E61" s="64">
        <f ca="1">MATCH(E60,Trainer!$B$6:$B$31,0)</f>
        <v>3</v>
      </c>
      <c r="F61" s="64">
        <f ca="1">MATCH(F60,Trainer!$B$6:$B$31,0)</f>
        <v>1</v>
      </c>
      <c r="G61" s="64">
        <f ca="1">MATCH(G60,Trainer!$B$6:$B$31,0)</f>
        <v>19</v>
      </c>
      <c r="H61" s="64">
        <f ca="1">MATCH(H60,Trainer!$B$6:$B$31,0)</f>
        <v>24</v>
      </c>
      <c r="I61" s="64">
        <f ca="1">MATCH(I60,Trainer!$B$6:$B$31,0)</f>
        <v>23</v>
      </c>
      <c r="J61" s="64">
        <f ca="1">MATCH(J60,Trainer!$B$6:$B$31,0)</f>
        <v>13</v>
      </c>
      <c r="K61" s="64">
        <f ca="1">MATCH(K60,Trainer!$B$6:$B$31,0)</f>
        <v>17</v>
      </c>
      <c r="L61" s="64">
        <f ca="1">MATCH(L60,Trainer!$B$6:$B$31,0)</f>
        <v>5</v>
      </c>
      <c r="M61" s="64">
        <f ca="1">MATCH(M60,Trainer!$B$6:$B$31,0)</f>
        <v>22</v>
      </c>
      <c r="N61" s="64">
        <f ca="1">MATCH(N60,Trainer!$B$6:$B$31,0)</f>
        <v>9</v>
      </c>
      <c r="O61" s="65" t="e">
        <f ca="1">MATCH(O60,Trainer!$B$6:$B$31,0)</f>
        <v>#N/A</v>
      </c>
      <c r="P61" s="65" t="e">
        <f ca="1">MATCH(P60,Trainer!$B$6:$B$31,0)</f>
        <v>#N/A</v>
      </c>
      <c r="Q61" s="11"/>
      <c r="R61" s="6"/>
      <c r="S61" s="17"/>
    </row>
    <row r="62" spans="1:19" ht="15" x14ac:dyDescent="0.25">
      <c r="B62" s="62" t="s">
        <v>940</v>
      </c>
      <c r="C62" s="63">
        <f ca="1">(OFFSET(Trainer!$C$5,C$61,0)+OFFSET(Trainer!$D$5,C$61,0))/OFFSET(Trainer!$F$5,C$61,0)</f>
        <v>0.25274725274725274</v>
      </c>
      <c r="D62" s="63">
        <f ca="1">(OFFSET(Trainer!$C$5,D$61,0)+OFFSET(Trainer!$D$5,D$61,0))/OFFSET(Trainer!$F$5,D$61,0)</f>
        <v>0.18181818181818182</v>
      </c>
      <c r="E62" s="63">
        <f ca="1">(OFFSET(Trainer!$C$5,E$61,0)+OFFSET(Trainer!$D$5,E$61,0))/OFFSET(Trainer!$F$5,E$61,0)</f>
        <v>0.21505376344086022</v>
      </c>
      <c r="F62" s="63">
        <f ca="1">(OFFSET(Trainer!$C$5,F$61,0)+OFFSET(Trainer!$D$5,F$61,0))/OFFSET(Trainer!$F$5,F$61,0)</f>
        <v>0.26436781609195403</v>
      </c>
      <c r="G62" s="63">
        <f ca="1">(OFFSET(Trainer!$C$5,G$61,0)+OFFSET(Trainer!$D$5,G$61,0))/OFFSET(Trainer!$F$5,G$61,0)</f>
        <v>0.10344827586206896</v>
      </c>
      <c r="H62" s="63">
        <f ca="1">(OFFSET(Trainer!$C$5,H$61,0)+OFFSET(Trainer!$D$5,H$61,0))/OFFSET(Trainer!$F$5,H$61,0)</f>
        <v>7.8947368421052627E-2</v>
      </c>
      <c r="I62" s="63">
        <f ca="1">(OFFSET(Trainer!$C$5,I$61,0)+OFFSET(Trainer!$D$5,I$61,0))/OFFSET(Trainer!$F$5,I$61,0)</f>
        <v>6.8181818181818177E-2</v>
      </c>
      <c r="J62" s="63">
        <f ca="1">(OFFSET(Trainer!$C$5,J$61,0)+OFFSET(Trainer!$D$5,J$61,0))/OFFSET(Trainer!$F$5,J$61,0)</f>
        <v>7.8947368421052627E-2</v>
      </c>
      <c r="K62" s="63">
        <f ca="1">(OFFSET(Trainer!$C$5,K$61,0)+OFFSET(Trainer!$D$5,K$61,0))/OFFSET(Trainer!$F$5,K$61,0)</f>
        <v>9.8360655737704916E-2</v>
      </c>
      <c r="L62" s="63">
        <f ca="1">(OFFSET(Trainer!$C$5,L$61,0)+OFFSET(Trainer!$D$5,L$61,0))/OFFSET(Trainer!$F$5,L$61,0)</f>
        <v>0.21739130434782608</v>
      </c>
      <c r="M62" s="63">
        <f ca="1">(OFFSET(Trainer!$C$5,M$61,0)+OFFSET(Trainer!$D$5,M$61,0))/OFFSET(Trainer!$F$5,M$61,0)</f>
        <v>0.11627906976744186</v>
      </c>
      <c r="N62" s="63">
        <f ca="1">(OFFSET(Trainer!$C$5,N$61,0)+OFFSET(Trainer!$D$5,N$61,0))/OFFSET(Trainer!$F$5,N$61,0)</f>
        <v>0.1951219512195122</v>
      </c>
      <c r="O62" s="24" t="e">
        <f ca="1">(OFFSET(Trainer!$C$5,O$61,0)+OFFSET(Trainer!$D$5,O$61,0))/OFFSET(Trainer!$F$5,O$61,0)</f>
        <v>#N/A</v>
      </c>
      <c r="P62" s="24" t="e">
        <f ca="1">(OFFSET(Trainer!$C$5,P$61,0)+OFFSET(Trainer!$D$5,P$61,0))/OFFSET(Trainer!$F$5,P$61,0)</f>
        <v>#N/A</v>
      </c>
      <c r="Q62" s="11"/>
      <c r="R62" s="6">
        <v>0.2</v>
      </c>
      <c r="S62" s="17"/>
    </row>
    <row r="63" spans="1:19" ht="15" outlineLevel="1" x14ac:dyDescent="0.25">
      <c r="A63" s="2">
        <f>COUNT($C$10:$G$10)</f>
        <v>1</v>
      </c>
      <c r="B63" s="29" t="s">
        <v>977</v>
      </c>
      <c r="C63" s="30" t="str">
        <f t="array" aca="1" ref="C63:P63" ca="1">TRANSPOSE(INDIRECT("R"&amp;$C$5&amp;"!P3:P16"))</f>
        <v>1.10.32</v>
      </c>
      <c r="D63" s="30" t="str">
        <f ca="1"/>
        <v>1.09.56</v>
      </c>
      <c r="E63" s="30" t="str">
        <f ca="1"/>
        <v>1.11.14</v>
      </c>
      <c r="F63" s="30" t="str">
        <f ca="1"/>
        <v>1.10.09</v>
      </c>
      <c r="G63" s="30" t="str">
        <f ca="1"/>
        <v>1.10.15</v>
      </c>
      <c r="H63" s="30">
        <f ca="1"/>
        <v>0</v>
      </c>
      <c r="I63" s="30" t="str">
        <f ca="1"/>
        <v>1.11.04</v>
      </c>
      <c r="J63" s="30">
        <f ca="1"/>
        <v>0</v>
      </c>
      <c r="K63" s="30" t="str">
        <f ca="1"/>
        <v>1.09.74</v>
      </c>
      <c r="L63" s="30">
        <f ca="1"/>
        <v>0</v>
      </c>
      <c r="M63" s="30" t="str">
        <f ca="1"/>
        <v>1.10.44</v>
      </c>
      <c r="N63" s="30" t="str">
        <f ca="1"/>
        <v>1.11.24</v>
      </c>
      <c r="O63" s="30">
        <f ca="1"/>
        <v>0</v>
      </c>
      <c r="P63" s="30">
        <f ca="1"/>
        <v>0</v>
      </c>
      <c r="Q63" s="11"/>
      <c r="R63" s="6"/>
      <c r="S63" s="17"/>
    </row>
    <row r="64" spans="1:19" ht="15" outlineLevel="1" x14ac:dyDescent="0.25">
      <c r="B64" s="29" t="s">
        <v>978</v>
      </c>
      <c r="C64" s="30">
        <f ca="1">IFERROR(MID(C63,1,1)*60+MID(C63,3,2)+MID(C63,6,2)/100,"")</f>
        <v>70.319999999999993</v>
      </c>
      <c r="D64" s="30">
        <f t="shared" ref="D64:P64" ca="1" si="18">IFERROR(MID(D63,1,1)*60+MID(D63,3,2)+MID(D63,6,2)/100,"")</f>
        <v>69.56</v>
      </c>
      <c r="E64" s="30">
        <f t="shared" ca="1" si="18"/>
        <v>71.14</v>
      </c>
      <c r="F64" s="30">
        <f t="shared" ca="1" si="18"/>
        <v>70.09</v>
      </c>
      <c r="G64" s="30">
        <f t="shared" ca="1" si="18"/>
        <v>70.150000000000006</v>
      </c>
      <c r="H64" s="30" t="str">
        <f t="shared" ca="1" si="18"/>
        <v/>
      </c>
      <c r="I64" s="30">
        <f t="shared" ca="1" si="18"/>
        <v>71.040000000000006</v>
      </c>
      <c r="J64" s="30" t="str">
        <f t="shared" ca="1" si="18"/>
        <v/>
      </c>
      <c r="K64" s="30">
        <f t="shared" ca="1" si="18"/>
        <v>69.739999999999995</v>
      </c>
      <c r="L64" s="30" t="str">
        <f t="shared" ca="1" si="18"/>
        <v/>
      </c>
      <c r="M64" s="30">
        <f t="shared" ca="1" si="18"/>
        <v>70.44</v>
      </c>
      <c r="N64" s="30">
        <f t="shared" ca="1" si="18"/>
        <v>71.239999999999995</v>
      </c>
      <c r="O64" s="30" t="str">
        <f t="shared" ca="1" si="18"/>
        <v/>
      </c>
      <c r="P64" s="30" t="str">
        <f t="shared" ca="1" si="18"/>
        <v/>
      </c>
      <c r="Q64" s="11"/>
      <c r="R64" s="6"/>
      <c r="S64" s="17"/>
    </row>
    <row r="65" spans="1:19" ht="15" outlineLevel="1" x14ac:dyDescent="0.25">
      <c r="B65" s="29" t="s">
        <v>979</v>
      </c>
      <c r="C65" s="30">
        <f ca="1">IF(C64="",AVERAGE($C$64:$P$64),C64)</f>
        <v>70.319999999999993</v>
      </c>
      <c r="D65" s="30">
        <f t="shared" ref="D65:P65" ca="1" si="19">IF(D64="",AVERAGE($C$64:$P$64),D64)</f>
        <v>69.56</v>
      </c>
      <c r="E65" s="30">
        <f t="shared" ca="1" si="19"/>
        <v>71.14</v>
      </c>
      <c r="F65" s="30">
        <f t="shared" ca="1" si="19"/>
        <v>70.09</v>
      </c>
      <c r="G65" s="30">
        <f t="shared" ca="1" si="19"/>
        <v>70.150000000000006</v>
      </c>
      <c r="H65" s="30">
        <f t="shared" ca="1" si="19"/>
        <v>70.413333333333341</v>
      </c>
      <c r="I65" s="30">
        <f t="shared" ca="1" si="19"/>
        <v>71.040000000000006</v>
      </c>
      <c r="J65" s="30">
        <f t="shared" ca="1" si="19"/>
        <v>70.413333333333341</v>
      </c>
      <c r="K65" s="30">
        <f t="shared" ca="1" si="19"/>
        <v>69.739999999999995</v>
      </c>
      <c r="L65" s="30">
        <f t="shared" ca="1" si="19"/>
        <v>70.413333333333341</v>
      </c>
      <c r="M65" s="30">
        <f t="shared" ca="1" si="19"/>
        <v>70.44</v>
      </c>
      <c r="N65" s="30">
        <f t="shared" ca="1" si="19"/>
        <v>71.239999999999995</v>
      </c>
      <c r="O65" s="30">
        <f t="shared" ca="1" si="19"/>
        <v>70.413333333333341</v>
      </c>
      <c r="P65" s="30">
        <f t="shared" ca="1" si="19"/>
        <v>70.413333333333341</v>
      </c>
      <c r="Q65" s="11"/>
      <c r="R65" s="6"/>
      <c r="S65" s="17"/>
    </row>
    <row r="66" spans="1:19" ht="15" outlineLevel="1" x14ac:dyDescent="0.25">
      <c r="A66" s="2" t="b">
        <f>$E$10&gt;=0</f>
        <v>1</v>
      </c>
      <c r="B66" s="29" t="s">
        <v>975</v>
      </c>
      <c r="C66" s="69">
        <f t="array" aca="1" ref="C66:P66" ca="1">TRANSPOSE(INDIRECT("R"&amp;$C$5&amp;"!Q3:Q16"))</f>
        <v>5</v>
      </c>
      <c r="D66" s="69">
        <f ca="1"/>
        <v>7</v>
      </c>
      <c r="E66" s="69">
        <f ca="1"/>
        <v>6</v>
      </c>
      <c r="F66" s="69">
        <f ca="1"/>
        <v>5</v>
      </c>
      <c r="G66" s="69">
        <f ca="1"/>
        <v>7</v>
      </c>
      <c r="H66" s="69">
        <f ca="1"/>
        <v>6</v>
      </c>
      <c r="I66" s="69">
        <f ca="1"/>
        <v>4</v>
      </c>
      <c r="J66" s="69">
        <f ca="1"/>
        <v>4</v>
      </c>
      <c r="K66" s="69">
        <f ca="1"/>
        <v>6</v>
      </c>
      <c r="L66" s="69">
        <f ca="1"/>
        <v>5</v>
      </c>
      <c r="M66" s="69">
        <f ca="1"/>
        <v>7</v>
      </c>
      <c r="N66" s="69">
        <f ca="1"/>
        <v>5</v>
      </c>
      <c r="O66" s="69">
        <f ca="1"/>
        <v>0</v>
      </c>
      <c r="P66" s="69">
        <f ca="1"/>
        <v>0</v>
      </c>
      <c r="Q66" s="11"/>
      <c r="R66" s="6"/>
      <c r="S66" s="17"/>
    </row>
    <row r="67" spans="1:19" ht="15" outlineLevel="1" x14ac:dyDescent="0.25">
      <c r="A67" s="2" t="b">
        <f>$D$10&gt;=0</f>
        <v>1</v>
      </c>
      <c r="B67" s="29" t="s">
        <v>976</v>
      </c>
      <c r="C67" s="30">
        <f ca="1">IF(C23=0,"",C65+MAX(0,(C66-6)*0.5))</f>
        <v>70.319999999999993</v>
      </c>
      <c r="D67" s="30">
        <f t="shared" ref="D67:P67" ca="1" si="20">IF(D23=0,"",D65+MAX(0,(D66-6)*0.5))</f>
        <v>70.06</v>
      </c>
      <c r="E67" s="30">
        <f t="shared" ca="1" si="20"/>
        <v>71.14</v>
      </c>
      <c r="F67" s="30">
        <f t="shared" ca="1" si="20"/>
        <v>70.09</v>
      </c>
      <c r="G67" s="30">
        <f t="shared" ca="1" si="20"/>
        <v>70.650000000000006</v>
      </c>
      <c r="H67" s="30">
        <f t="shared" ca="1" si="20"/>
        <v>70.413333333333341</v>
      </c>
      <c r="I67" s="30">
        <f t="shared" ca="1" si="20"/>
        <v>71.040000000000006</v>
      </c>
      <c r="J67" s="30">
        <f t="shared" ca="1" si="20"/>
        <v>70.413333333333341</v>
      </c>
      <c r="K67" s="30">
        <f t="shared" ca="1" si="20"/>
        <v>69.739999999999995</v>
      </c>
      <c r="L67" s="30">
        <f t="shared" ca="1" si="20"/>
        <v>70.413333333333341</v>
      </c>
      <c r="M67" s="30">
        <f t="shared" ca="1" si="20"/>
        <v>70.94</v>
      </c>
      <c r="N67" s="30">
        <f t="shared" ca="1" si="20"/>
        <v>71.239999999999995</v>
      </c>
      <c r="O67" s="30" t="str">
        <f t="shared" ca="1" si="20"/>
        <v/>
      </c>
      <c r="P67" s="30" t="str">
        <f t="shared" ca="1" si="20"/>
        <v/>
      </c>
      <c r="Q67" s="11"/>
      <c r="R67" s="6"/>
      <c r="S67" s="17"/>
    </row>
    <row r="68" spans="1:19" ht="15" outlineLevel="1" x14ac:dyDescent="0.25">
      <c r="B68" s="29" t="s">
        <v>980</v>
      </c>
      <c r="C68" s="69">
        <f ca="1">RANK(C67,OFFSET($C$67,0,0,1,$C$11),1)</f>
        <v>4</v>
      </c>
      <c r="D68" s="69">
        <f t="shared" ref="D68:P68" ca="1" si="21">RANK(D67,OFFSET($C$67,0,0,1,$C$11),1)</f>
        <v>2</v>
      </c>
      <c r="E68" s="69">
        <f t="shared" ca="1" si="21"/>
        <v>11</v>
      </c>
      <c r="F68" s="69">
        <f t="shared" ca="1" si="21"/>
        <v>3</v>
      </c>
      <c r="G68" s="69">
        <f t="shared" ca="1" si="21"/>
        <v>8</v>
      </c>
      <c r="H68" s="69">
        <f t="shared" ca="1" si="21"/>
        <v>5</v>
      </c>
      <c r="I68" s="69">
        <f t="shared" ca="1" si="21"/>
        <v>10</v>
      </c>
      <c r="J68" s="69">
        <f t="shared" ca="1" si="21"/>
        <v>5</v>
      </c>
      <c r="K68" s="69">
        <f t="shared" ca="1" si="21"/>
        <v>1</v>
      </c>
      <c r="L68" s="69">
        <f t="shared" ca="1" si="21"/>
        <v>5</v>
      </c>
      <c r="M68" s="69">
        <f t="shared" ca="1" si="21"/>
        <v>9</v>
      </c>
      <c r="N68" s="69">
        <f t="shared" ca="1" si="21"/>
        <v>12</v>
      </c>
      <c r="O68" s="30" t="e">
        <f t="shared" ca="1" si="21"/>
        <v>#VALUE!</v>
      </c>
      <c r="P68" s="30" t="e">
        <f t="shared" ca="1" si="21"/>
        <v>#VALUE!</v>
      </c>
      <c r="Q68" s="11"/>
      <c r="R68" s="6"/>
      <c r="S68" s="17"/>
    </row>
    <row r="69" spans="1:19" ht="15" outlineLevel="1" x14ac:dyDescent="0.25">
      <c r="B69" s="29" t="s">
        <v>985</v>
      </c>
      <c r="C69" s="75">
        <f ca="1">IF(C25=0,0,AVERAGE(C67:P67)-C67)</f>
        <v>0.21833333333334792</v>
      </c>
      <c r="D69" s="75">
        <f t="shared" ref="D69:P69" ca="1" si="22">IF(D25=0,0,AVERAGE(D67:Q67)-D67)</f>
        <v>0.49818181818181984</v>
      </c>
      <c r="E69" s="75">
        <f t="shared" ca="1" si="22"/>
        <v>-0.53199999999998226</v>
      </c>
      <c r="F69" s="75">
        <f t="shared" ca="1" si="22"/>
        <v>0.45888888888889312</v>
      </c>
      <c r="G69" s="75">
        <f t="shared" ca="1" si="22"/>
        <v>-4.3750000000002842E-2</v>
      </c>
      <c r="H69" s="75">
        <f t="shared" ca="1" si="22"/>
        <v>0.18666666666666742</v>
      </c>
      <c r="I69" s="75">
        <f t="shared" ca="1" si="22"/>
        <v>-0.40888888888889596</v>
      </c>
      <c r="J69" s="75">
        <f t="shared" ca="1" si="22"/>
        <v>0.13599999999999568</v>
      </c>
      <c r="K69" s="75">
        <f t="shared" ca="1" si="22"/>
        <v>0.84333333333333371</v>
      </c>
      <c r="L69" s="75">
        <f t="shared" ca="1" si="22"/>
        <v>0.45111111111111768</v>
      </c>
      <c r="M69" s="75">
        <f t="shared" ca="1" si="22"/>
        <v>0.15000000000000568</v>
      </c>
      <c r="N69" s="75">
        <f t="shared" ca="1" si="22"/>
        <v>0</v>
      </c>
      <c r="O69" s="75">
        <f t="shared" ca="1" si="22"/>
        <v>0</v>
      </c>
      <c r="P69" s="75">
        <f t="shared" ca="1" si="22"/>
        <v>0</v>
      </c>
      <c r="Q69" s="11"/>
      <c r="R69" s="6">
        <v>0</v>
      </c>
      <c r="S69" s="17"/>
    </row>
    <row r="70" spans="1:19" ht="15" outlineLevel="1" x14ac:dyDescent="0.25">
      <c r="B70" s="29" t="s">
        <v>986</v>
      </c>
      <c r="C70" s="76">
        <f ca="1">C69-MIN(OFFSET($C$69,0,0,1,$C$11))</f>
        <v>0.75033333333333019</v>
      </c>
      <c r="D70" s="76">
        <f t="shared" ref="D70:P70" ca="1" si="23">D69-MIN(OFFSET($C$69,0,0,1,$C$11))</f>
        <v>1.0301818181818021</v>
      </c>
      <c r="E70" s="76">
        <f t="shared" ca="1" si="23"/>
        <v>0</v>
      </c>
      <c r="F70" s="76">
        <f t="shared" ca="1" si="23"/>
        <v>0.99088888888887539</v>
      </c>
      <c r="G70" s="76">
        <f t="shared" ca="1" si="23"/>
        <v>0.48824999999997942</v>
      </c>
      <c r="H70" s="76">
        <f t="shared" ca="1" si="23"/>
        <v>0.71866666666664969</v>
      </c>
      <c r="I70" s="76">
        <f t="shared" ca="1" si="23"/>
        <v>0.1231111111110863</v>
      </c>
      <c r="J70" s="76">
        <f t="shared" ca="1" si="23"/>
        <v>0.66799999999997794</v>
      </c>
      <c r="K70" s="76">
        <f t="shared" ca="1" si="23"/>
        <v>1.375333333333316</v>
      </c>
      <c r="L70" s="76">
        <f t="shared" ca="1" si="23"/>
        <v>0.98311111111109994</v>
      </c>
      <c r="M70" s="76">
        <f t="shared" ca="1" si="23"/>
        <v>0.68199999999998795</v>
      </c>
      <c r="N70" s="76">
        <f t="shared" ca="1" si="23"/>
        <v>0.53199999999998226</v>
      </c>
      <c r="O70" s="30">
        <f t="shared" ca="1" si="23"/>
        <v>0.53199999999998226</v>
      </c>
      <c r="P70" s="30">
        <f t="shared" ca="1" si="23"/>
        <v>0.53199999999998226</v>
      </c>
      <c r="Q70" s="11"/>
      <c r="R70" s="6"/>
      <c r="S70" s="17"/>
    </row>
    <row r="71" spans="1:19" ht="15" outlineLevel="1" x14ac:dyDescent="0.25">
      <c r="B71" s="29" t="s">
        <v>984</v>
      </c>
      <c r="C71" s="73">
        <f ca="1">C70/SUM(OFFSET($C$70,0,0,1,$C$11))</f>
        <v>8.9947789886914417E-2</v>
      </c>
      <c r="D71" s="74">
        <f t="shared" ref="D71:P71" ca="1" si="24">D70/SUM(OFFSET($C$70,0,0,1,$C$11))</f>
        <v>0.12349521687312739</v>
      </c>
      <c r="E71" s="74">
        <f t="shared" ca="1" si="24"/>
        <v>0</v>
      </c>
      <c r="F71" s="74">
        <f t="shared" ca="1" si="24"/>
        <v>0.11878489415245005</v>
      </c>
      <c r="G71" s="74">
        <f t="shared" ca="1" si="24"/>
        <v>5.8529997883986176E-2</v>
      </c>
      <c r="H71" s="74">
        <f t="shared" ca="1" si="24"/>
        <v>8.6151681473204664E-2</v>
      </c>
      <c r="I71" s="74">
        <f t="shared" ca="1" si="24"/>
        <v>1.4758203938202503E-2</v>
      </c>
      <c r="J71" s="74">
        <f t="shared" ca="1" si="24"/>
        <v>8.0077908011271126E-2</v>
      </c>
      <c r="K71" s="74">
        <f t="shared" ca="1" si="24"/>
        <v>0.16487098226273023</v>
      </c>
      <c r="L71" s="74">
        <f t="shared" ca="1" si="24"/>
        <v>0.11785251664732904</v>
      </c>
      <c r="M71" s="74">
        <f t="shared" ca="1" si="24"/>
        <v>8.1756187520490631E-2</v>
      </c>
      <c r="N71" s="74">
        <f t="shared" ca="1" si="24"/>
        <v>6.3774621350293742E-2</v>
      </c>
      <c r="O71" s="74">
        <f t="shared" ca="1" si="24"/>
        <v>6.3774621350293742E-2</v>
      </c>
      <c r="P71" s="74">
        <f t="shared" ca="1" si="24"/>
        <v>6.3774621350293742E-2</v>
      </c>
      <c r="Q71" s="11"/>
      <c r="R71" s="6">
        <v>0.2</v>
      </c>
      <c r="S71" s="17"/>
    </row>
    <row r="72" spans="1:19" x14ac:dyDescent="0.25"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</row>
    <row r="73" spans="1:19" ht="15" x14ac:dyDescent="0.25">
      <c r="B73" s="31" t="s">
        <v>52</v>
      </c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</row>
    <row r="74" spans="1:19" ht="15" outlineLevel="1" x14ac:dyDescent="0.25">
      <c r="B74" s="32" t="s">
        <v>53</v>
      </c>
      <c r="C74" s="33">
        <f>($C$6-3)*$R$74*C26</f>
        <v>0</v>
      </c>
      <c r="D74" s="33">
        <f>($C$6-3)*$R$74*D26</f>
        <v>0</v>
      </c>
      <c r="E74" s="33">
        <f>($C$6-3)*$R$74*E26</f>
        <v>0</v>
      </c>
      <c r="F74" s="33">
        <f>($C$6-3)*$R$74*F26</f>
        <v>0</v>
      </c>
      <c r="G74" s="33">
        <f>($C$6-3)*$R$74*G26</f>
        <v>0</v>
      </c>
      <c r="H74" s="33">
        <f>($C$6-3)*$R$74*H26</f>
        <v>0</v>
      </c>
      <c r="I74" s="33">
        <f>($C$6-3)*$R$74*I26</f>
        <v>0</v>
      </c>
      <c r="J74" s="33">
        <f>($C$6-3)*$R$74*J26</f>
        <v>0</v>
      </c>
      <c r="K74" s="33">
        <f>($C$6-3)*$R$74*K26</f>
        <v>0</v>
      </c>
      <c r="L74" s="33">
        <f>($C$6-3)*$R$74*L26</f>
        <v>0</v>
      </c>
      <c r="M74" s="33">
        <f>($C$6-3)*$R$74*M26</f>
        <v>0</v>
      </c>
      <c r="N74" s="33">
        <f>($C$6-3)*$R$74*N26</f>
        <v>0</v>
      </c>
      <c r="O74" s="33">
        <f>($C$6-3)*$R$74*O26</f>
        <v>0</v>
      </c>
      <c r="P74" s="33">
        <f>($C$6-3)*$R$74*P26</f>
        <v>0</v>
      </c>
      <c r="Q74" s="11"/>
      <c r="R74" s="34">
        <v>0</v>
      </c>
      <c r="S74" s="17" t="s">
        <v>54</v>
      </c>
    </row>
    <row r="75" spans="1:19" ht="15" outlineLevel="1" x14ac:dyDescent="0.25">
      <c r="B75" s="35" t="s">
        <v>55</v>
      </c>
      <c r="C75" s="36">
        <f>C26*$R$26*$R$75*$C$8*$C$9</f>
        <v>0</v>
      </c>
      <c r="D75" s="36">
        <f>D26*$R$26*$R$75*$C$8*$C$9</f>
        <v>0</v>
      </c>
      <c r="E75" s="36">
        <f>E26*$R$26*$R$75*$C$8*$C$9</f>
        <v>0</v>
      </c>
      <c r="F75" s="36">
        <f>F26*$R$26*$R$75*$C$8*$C$9</f>
        <v>0</v>
      </c>
      <c r="G75" s="36">
        <f>G26*$R$26*$R$75*$C$8*$C$9</f>
        <v>0</v>
      </c>
      <c r="H75" s="36">
        <f>H26*$R$26*$R$75*$C$8*$C$9</f>
        <v>0</v>
      </c>
      <c r="I75" s="36">
        <f>I26*$R$26*$R$75*$C$8*$C$9</f>
        <v>0</v>
      </c>
      <c r="J75" s="36">
        <f>J26*$R$26*$R$75*$C$8*$C$9</f>
        <v>0</v>
      </c>
      <c r="K75" s="36">
        <f>K26*$R$26*$R$75*$C$8*$C$9</f>
        <v>0</v>
      </c>
      <c r="L75" s="36">
        <f>L26*$R$26*$R$75*$C$8*$C$9</f>
        <v>0</v>
      </c>
      <c r="M75" s="36">
        <f>M26*$R$26*$R$75*$C$8*$C$9</f>
        <v>0</v>
      </c>
      <c r="N75" s="36">
        <f>N26*$R$26*$R$75*$C$8*$C$9</f>
        <v>0</v>
      </c>
      <c r="O75" s="36">
        <f>O26*$R$26*$R$75*$C$8*$C$9</f>
        <v>0</v>
      </c>
      <c r="P75" s="36">
        <f>P26*$R$26*$R$75*$C$8*$C$9</f>
        <v>0</v>
      </c>
      <c r="Q75" s="11"/>
      <c r="R75" s="37">
        <v>0</v>
      </c>
      <c r="S75" s="17" t="s">
        <v>56</v>
      </c>
    </row>
    <row r="76" spans="1:19" ht="15" outlineLevel="1" x14ac:dyDescent="0.25">
      <c r="B76" s="35" t="s">
        <v>57</v>
      </c>
      <c r="C76" s="36">
        <f>0.5*MAX(1.5-C26,0)+0.5*MAX(0,2.5-C27)</f>
        <v>0.75</v>
      </c>
      <c r="D76" s="36">
        <f>0.5*MAX(1.5-D26,0)+0.5*MAX(0,2.5-D27)</f>
        <v>1</v>
      </c>
      <c r="E76" s="36">
        <f>0.5*MAX(1.5-E26,0)+0.5*MAX(0,2.5-E27)</f>
        <v>0.25</v>
      </c>
      <c r="F76" s="36">
        <f>0.5*MAX(1.5-F26,0)+0.5*MAX(0,2.5-F27)</f>
        <v>0.75</v>
      </c>
      <c r="G76" s="36">
        <f>0.5*MAX(1.5-G26,0)+0.5*MAX(0,2.5-G27)</f>
        <v>0.75</v>
      </c>
      <c r="H76" s="36">
        <f>0.5*MAX(1.5-H26,0)+0.5*MAX(0,2.5-H27)</f>
        <v>0.75</v>
      </c>
      <c r="I76" s="36">
        <f>0.5*MAX(1.5-I26,0)+0.5*MAX(0,2.5-I27)</f>
        <v>0.75</v>
      </c>
      <c r="J76" s="36">
        <f>0.5*MAX(1.5-J26,0)+0.5*MAX(0,2.5-J27)</f>
        <v>0</v>
      </c>
      <c r="K76" s="36">
        <f>0.5*MAX(1.5-K26,0)+0.5*MAX(0,2.5-K27)</f>
        <v>0.75</v>
      </c>
      <c r="L76" s="36">
        <f>0.5*MAX(1.5-L26,0)+0.5*MAX(0,2.5-L27)</f>
        <v>0.25</v>
      </c>
      <c r="M76" s="36">
        <f>0.5*MAX(1.5-M26,0)+0.5*MAX(0,2.5-M27)</f>
        <v>0.75</v>
      </c>
      <c r="N76" s="36">
        <f>0.5*MAX(1.5-N26,0)+0.5*MAX(0,2.5-N27)</f>
        <v>0.75</v>
      </c>
      <c r="O76" s="36">
        <f>0.5*MAX(1.5-O26,0)+0.5*MAX(0,2.5-O27)</f>
        <v>0.75</v>
      </c>
      <c r="P76" s="36">
        <f>0.5*MAX(1.5-P26,0)+0.5*MAX(0,2.5-P27)</f>
        <v>1</v>
      </c>
      <c r="Q76" s="11"/>
      <c r="R76" s="37">
        <v>0</v>
      </c>
      <c r="S76" s="17"/>
    </row>
    <row r="77" spans="1:19" ht="15" outlineLevel="1" x14ac:dyDescent="0.25">
      <c r="B77" s="15" t="s">
        <v>58</v>
      </c>
      <c r="C77" s="33">
        <f ca="1">$R$77^((14-C25))*$C$9</f>
        <v>0</v>
      </c>
      <c r="D77" s="33">
        <f ca="1">$R$77^((14-D25))*$C$9</f>
        <v>0</v>
      </c>
      <c r="E77" s="33">
        <f ca="1">$R$77^((14-E25))*$C$9</f>
        <v>0</v>
      </c>
      <c r="F77" s="33">
        <f ca="1">$R$77^((14-F25))*$C$9</f>
        <v>0</v>
      </c>
      <c r="G77" s="33">
        <f ca="1">$R$77^((14-G25))*$C$9</f>
        <v>0</v>
      </c>
      <c r="H77" s="33">
        <f ca="1">$R$77^((14-H25))*$C$9</f>
        <v>0</v>
      </c>
      <c r="I77" s="33">
        <f ca="1">$R$77^((14-I25))*$C$9</f>
        <v>0</v>
      </c>
      <c r="J77" s="33">
        <f ca="1">$R$77^((14-J25))*$C$9</f>
        <v>0</v>
      </c>
      <c r="K77" s="33">
        <f ca="1">$R$77^((14-K25))*$C$9</f>
        <v>0</v>
      </c>
      <c r="L77" s="33">
        <f ca="1">$R$77^((14-L25))*$C$9</f>
        <v>0</v>
      </c>
      <c r="M77" s="33">
        <f ca="1">$R$77^((14-M25))*$C$9</f>
        <v>0</v>
      </c>
      <c r="N77" s="33">
        <f ca="1">$R$77^((14-N25))*$C$9</f>
        <v>0</v>
      </c>
      <c r="O77" s="33">
        <f ca="1">$R$77^((14-O25))*$C$9</f>
        <v>0</v>
      </c>
      <c r="P77" s="33">
        <f ca="1">$R$77^((14-P25))*$C$9</f>
        <v>0</v>
      </c>
      <c r="Q77" s="11"/>
      <c r="R77" s="34">
        <v>0</v>
      </c>
      <c r="S77" s="17" t="s">
        <v>59</v>
      </c>
    </row>
    <row r="78" spans="1:19" ht="15" outlineLevel="1" x14ac:dyDescent="0.25">
      <c r="B78" s="38" t="s">
        <v>60</v>
      </c>
      <c r="C78" s="39">
        <f>(1200/$C$7*$R$78*(7+C26))/5</f>
        <v>0</v>
      </c>
      <c r="D78" s="39">
        <f>(1200/$C$7*$R$78*(7+D26))/5</f>
        <v>0</v>
      </c>
      <c r="E78" s="39">
        <f>(1200/$C$7*$R$78*(7+E26))/5</f>
        <v>0</v>
      </c>
      <c r="F78" s="39">
        <f>(1200/$C$7*$R$78*(7+F26))/5</f>
        <v>0</v>
      </c>
      <c r="G78" s="39">
        <f>(1200/$C$7*$R$78*(7+G26))/5</f>
        <v>0</v>
      </c>
      <c r="H78" s="39">
        <f>(1200/$C$7*$R$78*(7+H26))/5</f>
        <v>0</v>
      </c>
      <c r="I78" s="39">
        <f>(1200/$C$7*$R$78*(7+I26))/5</f>
        <v>0</v>
      </c>
      <c r="J78" s="39">
        <f>(1200/$C$7*$R$78*(7+J26))/5</f>
        <v>0</v>
      </c>
      <c r="K78" s="39">
        <f>(1200/$C$7*$R$78*(7+K26))/5</f>
        <v>0</v>
      </c>
      <c r="L78" s="39">
        <f>(1200/$C$7*$R$78*(7+L26))/5</f>
        <v>0</v>
      </c>
      <c r="M78" s="39">
        <f>(1200/$C$7*$R$78*(7+M26))/5</f>
        <v>0</v>
      </c>
      <c r="N78" s="39">
        <f>(1200/$C$7*$R$78*(7+N26))/5</f>
        <v>0</v>
      </c>
      <c r="O78" s="39">
        <f>(1200/$C$7*$R$78*(7+O26))/5</f>
        <v>0</v>
      </c>
      <c r="P78" s="39">
        <f>(1200/$C$7*$R$78*(7+P26))/5</f>
        <v>0</v>
      </c>
      <c r="Q78" s="11"/>
      <c r="R78" s="34">
        <v>0</v>
      </c>
      <c r="S78" s="17" t="s">
        <v>61</v>
      </c>
    </row>
    <row r="79" spans="1:19" ht="15" x14ac:dyDescent="0.25">
      <c r="B79" s="40" t="s">
        <v>62</v>
      </c>
      <c r="C79" s="41">
        <f ca="1">C74+C75+C78*C77+C76*$R76</f>
        <v>0</v>
      </c>
      <c r="D79" s="41">
        <f t="shared" ref="D79:P79" ca="1" si="25">D74+D75+D78*D77+D76*$R76</f>
        <v>0</v>
      </c>
      <c r="E79" s="41">
        <f t="shared" ca="1" si="25"/>
        <v>0</v>
      </c>
      <c r="F79" s="41">
        <f t="shared" ca="1" si="25"/>
        <v>0</v>
      </c>
      <c r="G79" s="41">
        <f t="shared" ca="1" si="25"/>
        <v>0</v>
      </c>
      <c r="H79" s="41">
        <f t="shared" ca="1" si="25"/>
        <v>0</v>
      </c>
      <c r="I79" s="41">
        <f t="shared" ca="1" si="25"/>
        <v>0</v>
      </c>
      <c r="J79" s="41">
        <f t="shared" ca="1" si="25"/>
        <v>0</v>
      </c>
      <c r="K79" s="41">
        <f t="shared" ca="1" si="25"/>
        <v>0</v>
      </c>
      <c r="L79" s="41">
        <f t="shared" ca="1" si="25"/>
        <v>0</v>
      </c>
      <c r="M79" s="41">
        <f t="shared" ca="1" si="25"/>
        <v>0</v>
      </c>
      <c r="N79" s="41">
        <f t="shared" ca="1" si="25"/>
        <v>0</v>
      </c>
      <c r="O79" s="41">
        <f t="shared" ca="1" si="25"/>
        <v>0</v>
      </c>
      <c r="P79" s="41">
        <f t="shared" ca="1" si="25"/>
        <v>0</v>
      </c>
      <c r="Q79" s="11"/>
      <c r="R79" s="11"/>
      <c r="S79" s="17" t="s">
        <v>63</v>
      </c>
    </row>
    <row r="80" spans="1:19" x14ac:dyDescent="0.25"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</row>
    <row r="81" spans="2:18" ht="15" x14ac:dyDescent="0.25">
      <c r="B81" s="42" t="s">
        <v>64</v>
      </c>
      <c r="C81" s="43">
        <f ca="1">C82-C79</f>
        <v>0.11969543569232918</v>
      </c>
      <c r="D81" s="43">
        <f t="shared" ref="D81:P81" ca="1" si="26">D82-D79</f>
        <v>0.10666779446032842</v>
      </c>
      <c r="E81" s="43">
        <f t="shared" ca="1" si="26"/>
        <v>8.2919526735267729E-2</v>
      </c>
      <c r="F81" s="43">
        <f t="shared" ca="1" si="26"/>
        <v>0.10697752134575021</v>
      </c>
      <c r="G81" s="43">
        <f t="shared" ca="1" si="26"/>
        <v>7.1566288198918665E-2</v>
      </c>
      <c r="H81" s="43">
        <f t="shared" ca="1" si="26"/>
        <v>8.1959556828843566E-2</v>
      </c>
      <c r="I81" s="43">
        <f t="shared" ca="1" si="26"/>
        <v>6.6070400297745219E-2</v>
      </c>
      <c r="J81" s="43">
        <f t="shared" ca="1" si="26"/>
        <v>8.1360223885519389E-2</v>
      </c>
      <c r="K81" s="43">
        <f t="shared" ca="1" si="26"/>
        <v>8.5803616797391735E-2</v>
      </c>
      <c r="L81" s="43">
        <f t="shared" ca="1" si="26"/>
        <v>0.10953999589881408</v>
      </c>
      <c r="M81" s="43">
        <f t="shared" ca="1" si="26"/>
        <v>6.7447207772687867E-2</v>
      </c>
      <c r="N81" s="43">
        <f t="shared" ca="1" si="26"/>
        <v>0.15452539729774928</v>
      </c>
      <c r="O81" s="43" t="e">
        <f t="shared" ca="1" si="26"/>
        <v>#VALUE!</v>
      </c>
      <c r="P81" s="43" t="e">
        <f t="shared" ca="1" si="26"/>
        <v>#VALUE!</v>
      </c>
      <c r="Q81" s="11"/>
      <c r="R81" s="11"/>
    </row>
    <row r="82" spans="2:18" ht="15" x14ac:dyDescent="0.25">
      <c r="B82" s="42" t="s">
        <v>8</v>
      </c>
      <c r="C82" s="77">
        <f ca="1">C41*$R41+C48*$R48+C59*$R59+C62*$R62+C71*$R71</f>
        <v>0.11969543569232918</v>
      </c>
      <c r="D82" s="77">
        <f t="shared" ref="D82:N82" ca="1" si="27">D41*$R41+D48*$R48+D59*$R59+D62*$R62+D71*$R71</f>
        <v>0.10666779446032842</v>
      </c>
      <c r="E82" s="77">
        <f t="shared" ca="1" si="27"/>
        <v>8.2919526735267729E-2</v>
      </c>
      <c r="F82" s="77">
        <f t="shared" ca="1" si="27"/>
        <v>0.10697752134575021</v>
      </c>
      <c r="G82" s="77">
        <f t="shared" ca="1" si="27"/>
        <v>7.1566288198918665E-2</v>
      </c>
      <c r="H82" s="77">
        <f t="shared" ca="1" si="27"/>
        <v>8.1959556828843566E-2</v>
      </c>
      <c r="I82" s="77">
        <f t="shared" ca="1" si="27"/>
        <v>6.6070400297745219E-2</v>
      </c>
      <c r="J82" s="77">
        <f t="shared" ca="1" si="27"/>
        <v>8.1360223885519389E-2</v>
      </c>
      <c r="K82" s="77">
        <f t="shared" ca="1" si="27"/>
        <v>8.5803616797391735E-2</v>
      </c>
      <c r="L82" s="77">
        <f t="shared" ca="1" si="27"/>
        <v>0.10953999589881408</v>
      </c>
      <c r="M82" s="77">
        <f t="shared" ca="1" si="27"/>
        <v>6.7447207772687867E-2</v>
      </c>
      <c r="N82" s="77">
        <f t="shared" ca="1" si="27"/>
        <v>0.15452539729774928</v>
      </c>
      <c r="O82" s="43" t="str">
        <f ca="1">IFERROR(IF(O25=0,"--",SUMPRODUCT(O$26:O$47,$R$26:$R$47)+O79)+SUMPRODUCT(O51:O52,$R51:$R52)+O71*$R$71,"--")</f>
        <v>--</v>
      </c>
      <c r="P82" s="43" t="str">
        <f ca="1">IFERROR(IF(P25=0,"--",SUMPRODUCT(P$26:P$47,$R$26:$R$47)+P79)+SUMPRODUCT(P51:P52,$R51:$R52)+P71*$R$71,"--")</f>
        <v>--</v>
      </c>
      <c r="Q82" s="11"/>
      <c r="R82" s="11"/>
    </row>
    <row r="83" spans="2:18" ht="15" x14ac:dyDescent="0.25">
      <c r="B83" s="42" t="s">
        <v>5</v>
      </c>
      <c r="C83" s="42">
        <f ca="1">IFERROR(RANK(C82,OFFSET($C$82,0,0,1,$C$11)),"--")</f>
        <v>2</v>
      </c>
      <c r="D83" s="42">
        <f t="shared" ref="D83:P83" ca="1" si="28">IFERROR(RANK(D82,OFFSET($C$82,0,0,1,$C$11)),"--")</f>
        <v>5</v>
      </c>
      <c r="E83" s="42">
        <f t="shared" ca="1" si="28"/>
        <v>7</v>
      </c>
      <c r="F83" s="42">
        <f t="shared" ca="1" si="28"/>
        <v>4</v>
      </c>
      <c r="G83" s="42">
        <f t="shared" ca="1" si="28"/>
        <v>10</v>
      </c>
      <c r="H83" s="42">
        <f t="shared" ca="1" si="28"/>
        <v>8</v>
      </c>
      <c r="I83" s="42">
        <f t="shared" ca="1" si="28"/>
        <v>12</v>
      </c>
      <c r="J83" s="42">
        <f t="shared" ca="1" si="28"/>
        <v>9</v>
      </c>
      <c r="K83" s="42">
        <f t="shared" ca="1" si="28"/>
        <v>6</v>
      </c>
      <c r="L83" s="42">
        <f t="shared" ca="1" si="28"/>
        <v>3</v>
      </c>
      <c r="M83" s="42">
        <f t="shared" ca="1" si="28"/>
        <v>11</v>
      </c>
      <c r="N83" s="42">
        <f t="shared" ca="1" si="28"/>
        <v>1</v>
      </c>
      <c r="O83" s="42" t="str">
        <f t="shared" ca="1" si="28"/>
        <v>--</v>
      </c>
      <c r="P83" s="42" t="str">
        <f t="shared" ca="1" si="28"/>
        <v>--</v>
      </c>
      <c r="Q83" s="11"/>
      <c r="R83" s="11"/>
    </row>
    <row r="84" spans="2:18" x14ac:dyDescent="0.25"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</row>
    <row r="85" spans="2:18" x14ac:dyDescent="0.25">
      <c r="C85" s="70"/>
    </row>
    <row r="87" spans="2:18" x14ac:dyDescent="0.25">
      <c r="C87" s="70"/>
    </row>
  </sheetData>
  <phoneticPr fontId="2" type="noConversion"/>
  <conditionalFormatting sqref="C22:P83">
    <cfRule type="expression" dxfId="6" priority="6">
      <formula>C$25=0</formula>
    </cfRule>
  </conditionalFormatting>
  <conditionalFormatting sqref="O36">
    <cfRule type="expression" dxfId="5" priority="4">
      <formula>O$25=0</formula>
    </cfRule>
  </conditionalFormatting>
  <conditionalFormatting sqref="P36">
    <cfRule type="expression" dxfId="4" priority="3">
      <formula>P$25=0</formula>
    </cfRule>
  </conditionalFormatting>
  <conditionalFormatting sqref="O35:P35">
    <cfRule type="expression" dxfId="3" priority="7">
      <formula>L$14=0</formula>
    </cfRule>
  </conditionalFormatting>
  <conditionalFormatting sqref="C51:P53">
    <cfRule type="expression" dxfId="2" priority="1">
      <formula>AND(IFERROR(C$49,0)=0,IFERROR(C$50,0)=0)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7</xdr:col>
                    <xdr:colOff>28575</xdr:colOff>
                    <xdr:row>15</xdr:row>
                    <xdr:rowOff>9525</xdr:rowOff>
                  </from>
                  <to>
                    <xdr:col>9</xdr:col>
                    <xdr:colOff>76200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>
                <anchor moveWithCells="1" sizeWithCells="1">
                  <from>
                    <xdr:col>7</xdr:col>
                    <xdr:colOff>28575</xdr:colOff>
                    <xdr:row>11</xdr:row>
                    <xdr:rowOff>9525</xdr:rowOff>
                  </from>
                  <to>
                    <xdr:col>9</xdr:col>
                    <xdr:colOff>76200</xdr:colOff>
                    <xdr:row>13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2:T50"/>
  <sheetViews>
    <sheetView zoomScale="80" zoomScaleNormal="80" workbookViewId="0">
      <selection activeCell="U6" sqref="U6"/>
    </sheetView>
  </sheetViews>
  <sheetFormatPr defaultRowHeight="15" x14ac:dyDescent="0.25"/>
  <cols>
    <col min="1" max="1" width="2.7109375" style="44" customWidth="1"/>
    <col min="2" max="2" width="10.28515625" style="44" bestFit="1" customWidth="1"/>
    <col min="3" max="3" width="4" style="44" customWidth="1"/>
    <col min="4" max="5" width="3.85546875" style="44" bestFit="1" customWidth="1"/>
    <col min="6" max="6" width="6" style="44" bestFit="1" customWidth="1"/>
    <col min="7" max="14" width="12.140625" style="44" customWidth="1"/>
    <col min="15" max="16384" width="9.140625" style="44"/>
  </cols>
  <sheetData>
    <row r="2" spans="2:20" ht="15.75" x14ac:dyDescent="0.25">
      <c r="B2" s="46" t="s">
        <v>65</v>
      </c>
      <c r="C2" s="46" t="s">
        <v>66</v>
      </c>
      <c r="D2" s="46"/>
      <c r="E2" s="46"/>
      <c r="F2" s="46"/>
      <c r="G2" s="46" t="s">
        <v>67</v>
      </c>
      <c r="H2" s="46" t="s">
        <v>68</v>
      </c>
      <c r="I2" s="46" t="s">
        <v>69</v>
      </c>
      <c r="J2" s="46" t="s">
        <v>70</v>
      </c>
      <c r="K2" s="46" t="s">
        <v>71</v>
      </c>
      <c r="L2" s="46" t="s">
        <v>72</v>
      </c>
      <c r="M2" s="46" t="s">
        <v>73</v>
      </c>
      <c r="N2" s="46" t="s">
        <v>74</v>
      </c>
      <c r="O2"/>
      <c r="P2"/>
      <c r="Q2"/>
    </row>
    <row r="3" spans="2:20" ht="15.75" x14ac:dyDescent="0.25">
      <c r="B3" s="46" t="s">
        <v>75</v>
      </c>
      <c r="C3" s="46" t="s">
        <v>76</v>
      </c>
      <c r="D3" s="46" t="s">
        <v>77</v>
      </c>
      <c r="E3" s="46" t="s">
        <v>78</v>
      </c>
      <c r="F3" s="46" t="s">
        <v>79</v>
      </c>
      <c r="G3" s="46">
        <v>5</v>
      </c>
      <c r="H3" s="46">
        <v>5</v>
      </c>
      <c r="I3" s="46">
        <v>4</v>
      </c>
      <c r="J3" s="46">
        <v>4</v>
      </c>
      <c r="K3" s="46">
        <v>3</v>
      </c>
      <c r="L3" s="46">
        <v>4</v>
      </c>
      <c r="M3" s="46">
        <v>3</v>
      </c>
      <c r="N3" s="46">
        <v>3</v>
      </c>
      <c r="O3"/>
      <c r="P3"/>
      <c r="Q3"/>
      <c r="S3" s="44" t="s">
        <v>80</v>
      </c>
    </row>
    <row r="4" spans="2:20" ht="15.75" x14ac:dyDescent="0.25">
      <c r="B4" s="46" t="s">
        <v>81</v>
      </c>
      <c r="C4" s="46"/>
      <c r="D4" s="46"/>
      <c r="E4" s="46"/>
      <c r="F4" s="46" t="s">
        <v>82</v>
      </c>
      <c r="G4" s="46" t="s">
        <v>866</v>
      </c>
      <c r="H4" s="46" t="s">
        <v>251</v>
      </c>
      <c r="I4" s="46" t="s">
        <v>83</v>
      </c>
      <c r="J4" s="46" t="s">
        <v>83</v>
      </c>
      <c r="K4" s="46" t="s">
        <v>252</v>
      </c>
      <c r="L4" s="46" t="s">
        <v>252</v>
      </c>
      <c r="M4" s="46" t="s">
        <v>83</v>
      </c>
      <c r="N4" s="46" t="s">
        <v>83</v>
      </c>
      <c r="O4"/>
      <c r="P4"/>
      <c r="Q4"/>
      <c r="T4" s="44" t="s">
        <v>84</v>
      </c>
    </row>
    <row r="5" spans="2:20" ht="15.75" x14ac:dyDescent="0.25">
      <c r="B5" s="46" t="s">
        <v>85</v>
      </c>
      <c r="C5" s="46"/>
      <c r="D5" s="46"/>
      <c r="E5" s="46"/>
      <c r="F5" s="46"/>
      <c r="G5" s="46" t="s">
        <v>86</v>
      </c>
      <c r="H5" s="46" t="s">
        <v>86</v>
      </c>
      <c r="I5" s="46" t="s">
        <v>86</v>
      </c>
      <c r="J5" s="46" t="s">
        <v>86</v>
      </c>
      <c r="K5" s="46" t="s">
        <v>86</v>
      </c>
      <c r="L5" s="46" t="s">
        <v>86</v>
      </c>
      <c r="M5" s="46" t="s">
        <v>86</v>
      </c>
      <c r="N5" s="46" t="s">
        <v>86</v>
      </c>
      <c r="O5"/>
      <c r="P5"/>
      <c r="Q5"/>
    </row>
    <row r="6" spans="2:20" ht="15.75" x14ac:dyDescent="0.25">
      <c r="B6" s="46" t="s">
        <v>88</v>
      </c>
      <c r="C6" s="46">
        <v>15</v>
      </c>
      <c r="D6" s="46">
        <v>8</v>
      </c>
      <c r="E6" s="46">
        <v>9</v>
      </c>
      <c r="F6" s="46">
        <v>87</v>
      </c>
      <c r="H6" s="44" t="s">
        <v>262</v>
      </c>
      <c r="J6" s="44" t="s">
        <v>360</v>
      </c>
      <c r="K6" s="44" t="s">
        <v>867</v>
      </c>
      <c r="L6" s="44" t="s">
        <v>868</v>
      </c>
      <c r="M6" s="44" t="s">
        <v>393</v>
      </c>
      <c r="N6" s="44" t="s">
        <v>869</v>
      </c>
    </row>
    <row r="7" spans="2:20" ht="15.75" x14ac:dyDescent="0.25">
      <c r="B7" s="46" t="s">
        <v>92</v>
      </c>
      <c r="C7" s="46">
        <v>13</v>
      </c>
      <c r="D7" s="46">
        <v>10</v>
      </c>
      <c r="E7" s="46">
        <v>9</v>
      </c>
      <c r="F7" s="46">
        <v>91</v>
      </c>
      <c r="H7" s="44" t="s">
        <v>870</v>
      </c>
      <c r="I7" s="44" t="s">
        <v>321</v>
      </c>
      <c r="K7" s="44" t="s">
        <v>684</v>
      </c>
      <c r="M7" s="44" t="s">
        <v>397</v>
      </c>
      <c r="N7" s="44" t="s">
        <v>808</v>
      </c>
    </row>
    <row r="8" spans="2:20" ht="15.75" x14ac:dyDescent="0.25">
      <c r="B8" s="46" t="s">
        <v>91</v>
      </c>
      <c r="C8" s="46">
        <v>11</v>
      </c>
      <c r="D8" s="46">
        <v>9</v>
      </c>
      <c r="E8" s="46">
        <v>5</v>
      </c>
      <c r="F8" s="46">
        <v>93</v>
      </c>
      <c r="H8" s="44" t="s">
        <v>528</v>
      </c>
      <c r="I8" s="44" t="s">
        <v>871</v>
      </c>
      <c r="K8" s="44" t="s">
        <v>872</v>
      </c>
      <c r="L8" s="44" t="s">
        <v>398</v>
      </c>
      <c r="M8" s="44" t="s">
        <v>873</v>
      </c>
      <c r="N8" s="44" t="s">
        <v>294</v>
      </c>
    </row>
    <row r="9" spans="2:20" ht="15.75" x14ac:dyDescent="0.25">
      <c r="B9" s="46" t="s">
        <v>90</v>
      </c>
      <c r="C9" s="46">
        <v>10</v>
      </c>
      <c r="D9" s="46">
        <v>6</v>
      </c>
      <c r="E9" s="46">
        <v>10</v>
      </c>
      <c r="F9" s="46">
        <v>88</v>
      </c>
      <c r="G9" s="44" t="s">
        <v>410</v>
      </c>
      <c r="H9" s="44" t="s">
        <v>874</v>
      </c>
      <c r="I9" s="44" t="s">
        <v>875</v>
      </c>
      <c r="J9" s="44" t="s">
        <v>876</v>
      </c>
      <c r="M9" s="44" t="s">
        <v>877</v>
      </c>
      <c r="N9" s="44" t="s">
        <v>815</v>
      </c>
    </row>
    <row r="10" spans="2:20" ht="15.75" x14ac:dyDescent="0.25">
      <c r="B10" s="46" t="s">
        <v>96</v>
      </c>
      <c r="C10" s="46">
        <v>9</v>
      </c>
      <c r="D10" s="46">
        <v>6</v>
      </c>
      <c r="E10" s="46">
        <v>9</v>
      </c>
      <c r="F10" s="46">
        <v>69</v>
      </c>
      <c r="H10" s="44" t="s">
        <v>878</v>
      </c>
      <c r="L10" s="44" t="s">
        <v>879</v>
      </c>
      <c r="N10" s="44" t="s">
        <v>377</v>
      </c>
    </row>
    <row r="11" spans="2:20" ht="15.75" x14ac:dyDescent="0.25">
      <c r="B11" s="46" t="s">
        <v>106</v>
      </c>
      <c r="C11" s="46">
        <v>8</v>
      </c>
      <c r="D11" s="46">
        <v>8</v>
      </c>
      <c r="E11" s="46">
        <v>5</v>
      </c>
      <c r="F11" s="46">
        <v>63</v>
      </c>
      <c r="I11" s="44" t="s">
        <v>368</v>
      </c>
      <c r="K11" s="44" t="s">
        <v>880</v>
      </c>
      <c r="L11" s="44" t="s">
        <v>881</v>
      </c>
    </row>
    <row r="12" spans="2:20" ht="15.75" x14ac:dyDescent="0.25">
      <c r="B12" s="46" t="s">
        <v>93</v>
      </c>
      <c r="C12" s="46">
        <v>8</v>
      </c>
      <c r="D12" s="46">
        <v>7</v>
      </c>
      <c r="E12" s="46">
        <v>12</v>
      </c>
      <c r="F12" s="46">
        <v>81</v>
      </c>
      <c r="I12" s="44" t="s">
        <v>882</v>
      </c>
      <c r="K12" s="44" t="s">
        <v>883</v>
      </c>
      <c r="L12" s="44" t="s">
        <v>884</v>
      </c>
      <c r="M12" s="44" t="s">
        <v>290</v>
      </c>
    </row>
    <row r="13" spans="2:20" ht="15.75" x14ac:dyDescent="0.25">
      <c r="B13" s="46" t="s">
        <v>105</v>
      </c>
      <c r="C13" s="46">
        <v>6</v>
      </c>
      <c r="D13" s="46">
        <v>8</v>
      </c>
      <c r="E13" s="46">
        <v>5</v>
      </c>
      <c r="F13" s="46">
        <v>74</v>
      </c>
      <c r="G13" s="44" t="s">
        <v>885</v>
      </c>
      <c r="J13" s="44" t="s">
        <v>645</v>
      </c>
    </row>
    <row r="14" spans="2:20" ht="15.75" x14ac:dyDescent="0.25">
      <c r="B14" s="46" t="s">
        <v>102</v>
      </c>
      <c r="C14" s="46">
        <v>5</v>
      </c>
      <c r="D14" s="46">
        <v>3</v>
      </c>
      <c r="E14" s="46">
        <v>2</v>
      </c>
      <c r="F14" s="46">
        <v>41</v>
      </c>
      <c r="G14" s="44" t="s">
        <v>886</v>
      </c>
      <c r="I14" s="44" t="s">
        <v>579</v>
      </c>
      <c r="L14" s="44" t="s">
        <v>887</v>
      </c>
      <c r="M14" s="44" t="s">
        <v>888</v>
      </c>
      <c r="N14" s="44" t="s">
        <v>859</v>
      </c>
    </row>
    <row r="15" spans="2:20" ht="15.75" x14ac:dyDescent="0.25">
      <c r="B15" s="46" t="s">
        <v>87</v>
      </c>
      <c r="C15" s="46">
        <v>4</v>
      </c>
      <c r="D15" s="46">
        <v>6</v>
      </c>
      <c r="E15" s="46">
        <v>4</v>
      </c>
      <c r="F15" s="46">
        <v>79</v>
      </c>
      <c r="H15" s="44" t="s">
        <v>889</v>
      </c>
      <c r="J15" s="44" t="s">
        <v>637</v>
      </c>
      <c r="K15" s="44" t="s">
        <v>388</v>
      </c>
      <c r="L15" s="44" t="s">
        <v>890</v>
      </c>
      <c r="M15" s="44" t="s">
        <v>768</v>
      </c>
    </row>
    <row r="16" spans="2:20" ht="15.75" x14ac:dyDescent="0.25">
      <c r="B16" s="46" t="s">
        <v>100</v>
      </c>
      <c r="C16" s="46">
        <v>4</v>
      </c>
      <c r="D16" s="46">
        <v>1</v>
      </c>
      <c r="E16" s="46">
        <v>1</v>
      </c>
      <c r="F16" s="46">
        <v>46</v>
      </c>
      <c r="G16" s="44" t="s">
        <v>891</v>
      </c>
      <c r="H16" s="44" t="s">
        <v>399</v>
      </c>
      <c r="I16" s="44" t="s">
        <v>566</v>
      </c>
      <c r="L16" s="44" t="s">
        <v>892</v>
      </c>
      <c r="M16" s="44" t="s">
        <v>780</v>
      </c>
    </row>
    <row r="17" spans="2:14" ht="15.75" x14ac:dyDescent="0.25">
      <c r="B17" s="46" t="s">
        <v>99</v>
      </c>
      <c r="C17" s="46">
        <v>3</v>
      </c>
      <c r="D17" s="46">
        <v>4</v>
      </c>
      <c r="E17" s="46">
        <v>5</v>
      </c>
      <c r="F17" s="46">
        <v>66</v>
      </c>
      <c r="H17" s="44" t="s">
        <v>540</v>
      </c>
      <c r="I17" s="44" t="s">
        <v>893</v>
      </c>
      <c r="J17" s="44" t="s">
        <v>894</v>
      </c>
    </row>
    <row r="18" spans="2:14" ht="15.75" x14ac:dyDescent="0.25">
      <c r="B18" s="46" t="s">
        <v>104</v>
      </c>
      <c r="C18" s="46">
        <v>3</v>
      </c>
      <c r="D18" s="46">
        <v>3</v>
      </c>
      <c r="E18" s="46">
        <v>5</v>
      </c>
      <c r="F18" s="46">
        <v>76</v>
      </c>
      <c r="J18" s="44" t="s">
        <v>895</v>
      </c>
      <c r="L18" s="44" t="s">
        <v>896</v>
      </c>
      <c r="M18" s="44" t="s">
        <v>774</v>
      </c>
      <c r="N18" s="44" t="s">
        <v>897</v>
      </c>
    </row>
    <row r="19" spans="2:14" ht="15.75" x14ac:dyDescent="0.25">
      <c r="B19" s="46" t="s">
        <v>95</v>
      </c>
      <c r="C19" s="46">
        <v>3</v>
      </c>
      <c r="D19" s="46">
        <v>1</v>
      </c>
      <c r="E19" s="46">
        <v>3</v>
      </c>
      <c r="F19" s="46">
        <v>45</v>
      </c>
      <c r="G19" s="44" t="s">
        <v>898</v>
      </c>
      <c r="J19" s="44" t="s">
        <v>623</v>
      </c>
      <c r="K19" s="44" t="s">
        <v>899</v>
      </c>
      <c r="M19" s="44" t="s">
        <v>308</v>
      </c>
    </row>
    <row r="20" spans="2:14" ht="15.75" x14ac:dyDescent="0.25">
      <c r="B20" s="46" t="s">
        <v>89</v>
      </c>
      <c r="C20" s="46">
        <v>2</v>
      </c>
      <c r="D20" s="46">
        <v>7</v>
      </c>
      <c r="E20" s="46">
        <v>5</v>
      </c>
      <c r="F20" s="46">
        <v>54</v>
      </c>
      <c r="I20" s="44" t="s">
        <v>900</v>
      </c>
      <c r="J20" s="44" t="s">
        <v>901</v>
      </c>
    </row>
    <row r="21" spans="2:14" ht="15.75" x14ac:dyDescent="0.25">
      <c r="B21" s="46" t="s">
        <v>97</v>
      </c>
      <c r="C21" s="46">
        <v>2</v>
      </c>
      <c r="D21" s="46">
        <v>4</v>
      </c>
      <c r="E21" s="46">
        <v>4</v>
      </c>
      <c r="F21" s="46">
        <v>55</v>
      </c>
      <c r="G21" s="44" t="s">
        <v>902</v>
      </c>
      <c r="H21" s="44" t="s">
        <v>255</v>
      </c>
      <c r="L21" s="44" t="s">
        <v>903</v>
      </c>
    </row>
    <row r="22" spans="2:14" ht="15.75" x14ac:dyDescent="0.25">
      <c r="B22" s="46" t="s">
        <v>108</v>
      </c>
      <c r="C22" s="46">
        <v>2</v>
      </c>
      <c r="D22" s="46">
        <v>4</v>
      </c>
      <c r="E22" s="46">
        <v>3</v>
      </c>
      <c r="F22" s="46">
        <v>61</v>
      </c>
      <c r="G22" s="44" t="s">
        <v>904</v>
      </c>
      <c r="H22" s="44" t="s">
        <v>906</v>
      </c>
      <c r="J22" s="44" t="s">
        <v>316</v>
      </c>
      <c r="L22" s="44" t="s">
        <v>907</v>
      </c>
      <c r="N22" s="44" t="s">
        <v>298</v>
      </c>
    </row>
    <row r="23" spans="2:14" ht="15.75" x14ac:dyDescent="0.25">
      <c r="B23" s="46"/>
      <c r="C23" s="46"/>
      <c r="D23" s="46"/>
      <c r="E23" s="46"/>
      <c r="F23" s="46"/>
      <c r="G23" s="44" t="s">
        <v>905</v>
      </c>
    </row>
    <row r="24" spans="2:14" ht="15.75" x14ac:dyDescent="0.25">
      <c r="B24" s="46" t="s">
        <v>98</v>
      </c>
      <c r="C24" s="46">
        <v>1</v>
      </c>
      <c r="D24" s="46">
        <v>5</v>
      </c>
      <c r="E24" s="46">
        <v>1</v>
      </c>
      <c r="F24" s="46">
        <v>58</v>
      </c>
      <c r="H24" s="44" t="s">
        <v>253</v>
      </c>
      <c r="I24" s="44" t="s">
        <v>908</v>
      </c>
      <c r="J24" s="44" t="s">
        <v>909</v>
      </c>
      <c r="K24" s="44" t="s">
        <v>910</v>
      </c>
      <c r="N24" s="44" t="s">
        <v>830</v>
      </c>
    </row>
    <row r="25" spans="2:14" ht="15.75" x14ac:dyDescent="0.25">
      <c r="B25" s="46"/>
      <c r="C25" s="46"/>
      <c r="D25" s="46"/>
      <c r="E25" s="46"/>
      <c r="F25" s="46"/>
      <c r="K25" s="44" t="s">
        <v>677</v>
      </c>
    </row>
    <row r="26" spans="2:14" ht="15.75" x14ac:dyDescent="0.25">
      <c r="B26" s="46"/>
      <c r="C26" s="46"/>
      <c r="D26" s="46"/>
      <c r="E26" s="46"/>
      <c r="F26" s="46"/>
      <c r="K26" s="44" t="s">
        <v>911</v>
      </c>
    </row>
    <row r="27" spans="2:14" ht="15.75" x14ac:dyDescent="0.25">
      <c r="B27" s="46" t="s">
        <v>101</v>
      </c>
      <c r="C27" s="46">
        <v>1</v>
      </c>
      <c r="D27" s="46">
        <v>4</v>
      </c>
      <c r="E27" s="46">
        <v>5</v>
      </c>
      <c r="F27" s="46">
        <v>43</v>
      </c>
      <c r="J27" s="44" t="s">
        <v>400</v>
      </c>
      <c r="M27" s="44" t="s">
        <v>793</v>
      </c>
      <c r="N27" s="44" t="s">
        <v>912</v>
      </c>
    </row>
    <row r="28" spans="2:14" ht="15.75" x14ac:dyDescent="0.25">
      <c r="B28" s="46" t="s">
        <v>94</v>
      </c>
      <c r="C28" s="46">
        <v>1</v>
      </c>
      <c r="D28" s="46">
        <v>2</v>
      </c>
      <c r="E28" s="46">
        <v>6</v>
      </c>
      <c r="F28" s="46">
        <v>44</v>
      </c>
      <c r="G28" s="44" t="s">
        <v>913</v>
      </c>
      <c r="I28" s="44" t="s">
        <v>586</v>
      </c>
      <c r="L28" s="44" t="s">
        <v>914</v>
      </c>
      <c r="N28" s="44" t="s">
        <v>839</v>
      </c>
    </row>
    <row r="29" spans="2:14" ht="15.75" x14ac:dyDescent="0.25">
      <c r="B29" s="46" t="s">
        <v>103</v>
      </c>
      <c r="C29" s="46">
        <v>1</v>
      </c>
      <c r="D29" s="46">
        <v>2</v>
      </c>
      <c r="E29" s="46">
        <v>0</v>
      </c>
      <c r="F29" s="46">
        <v>38</v>
      </c>
      <c r="G29" s="44" t="s">
        <v>915</v>
      </c>
      <c r="H29" s="44" t="s">
        <v>917</v>
      </c>
      <c r="J29" s="44" t="s">
        <v>918</v>
      </c>
      <c r="M29" s="44" t="s">
        <v>285</v>
      </c>
      <c r="N29" s="44" t="s">
        <v>919</v>
      </c>
    </row>
    <row r="30" spans="2:14" ht="15.75" x14ac:dyDescent="0.25">
      <c r="B30" s="46"/>
      <c r="C30" s="46"/>
      <c r="D30" s="46"/>
      <c r="E30" s="46"/>
      <c r="F30" s="46"/>
      <c r="G30" s="44" t="s">
        <v>916</v>
      </c>
    </row>
    <row r="31" spans="2:14" ht="15.75" x14ac:dyDescent="0.25">
      <c r="B31" s="46" t="s">
        <v>107</v>
      </c>
      <c r="C31" s="46">
        <v>0</v>
      </c>
      <c r="D31" s="46">
        <v>4</v>
      </c>
      <c r="E31" s="46">
        <v>4</v>
      </c>
      <c r="F31" s="46">
        <v>51</v>
      </c>
      <c r="G31" s="44" t="s">
        <v>920</v>
      </c>
      <c r="I31" s="44" t="s">
        <v>921</v>
      </c>
    </row>
    <row r="32" spans="2:14" ht="15.75" x14ac:dyDescent="0.25">
      <c r="B32"/>
      <c r="C32"/>
      <c r="D32"/>
      <c r="E32"/>
      <c r="F32"/>
    </row>
    <row r="33" spans="2:6" ht="15.75" x14ac:dyDescent="0.25">
      <c r="B33"/>
      <c r="C33"/>
      <c r="D33"/>
      <c r="E33"/>
      <c r="F33"/>
    </row>
    <row r="34" spans="2:6" ht="15.75" x14ac:dyDescent="0.25">
      <c r="B34"/>
      <c r="C34"/>
      <c r="D34"/>
      <c r="E34"/>
      <c r="F34"/>
    </row>
    <row r="35" spans="2:6" ht="15.75" x14ac:dyDescent="0.25">
      <c r="B35"/>
      <c r="C35"/>
      <c r="D35"/>
      <c r="E35"/>
      <c r="F35"/>
    </row>
    <row r="36" spans="2:6" ht="15.75" x14ac:dyDescent="0.25">
      <c r="B36"/>
      <c r="C36"/>
      <c r="D36"/>
      <c r="E36"/>
      <c r="F36"/>
    </row>
    <row r="37" spans="2:6" ht="15.75" x14ac:dyDescent="0.25">
      <c r="B37"/>
      <c r="C37"/>
      <c r="D37"/>
      <c r="E37"/>
      <c r="F37"/>
    </row>
    <row r="38" spans="2:6" ht="15.75" x14ac:dyDescent="0.25">
      <c r="B38"/>
      <c r="C38"/>
      <c r="D38"/>
      <c r="E38"/>
      <c r="F38"/>
    </row>
    <row r="39" spans="2:6" ht="15.75" x14ac:dyDescent="0.25">
      <c r="B39"/>
      <c r="C39"/>
      <c r="D39"/>
      <c r="E39"/>
      <c r="F39"/>
    </row>
    <row r="40" spans="2:6" ht="15.75" x14ac:dyDescent="0.25">
      <c r="B40"/>
      <c r="C40"/>
      <c r="D40"/>
      <c r="E40"/>
      <c r="F40"/>
    </row>
    <row r="41" spans="2:6" ht="15.75" x14ac:dyDescent="0.25">
      <c r="B41"/>
      <c r="C41"/>
      <c r="D41"/>
      <c r="E41"/>
      <c r="F41"/>
    </row>
    <row r="42" spans="2:6" ht="15.75" x14ac:dyDescent="0.25">
      <c r="B42"/>
      <c r="C42"/>
      <c r="D42"/>
      <c r="E42"/>
      <c r="F42"/>
    </row>
    <row r="43" spans="2:6" ht="15.75" x14ac:dyDescent="0.25">
      <c r="B43"/>
      <c r="C43"/>
      <c r="D43"/>
      <c r="E43"/>
      <c r="F43"/>
    </row>
    <row r="44" spans="2:6" ht="15.75" x14ac:dyDescent="0.25">
      <c r="B44"/>
      <c r="C44"/>
      <c r="D44"/>
      <c r="E44"/>
      <c r="F44"/>
    </row>
    <row r="45" spans="2:6" ht="15.75" x14ac:dyDescent="0.25">
      <c r="B45"/>
      <c r="C45"/>
      <c r="D45"/>
      <c r="E45"/>
      <c r="F45"/>
    </row>
    <row r="46" spans="2:6" ht="15.75" x14ac:dyDescent="0.25">
      <c r="B46"/>
      <c r="C46"/>
      <c r="D46"/>
      <c r="E46"/>
      <c r="F46"/>
    </row>
    <row r="47" spans="2:6" ht="15.75" x14ac:dyDescent="0.25">
      <c r="B47"/>
      <c r="C47"/>
      <c r="D47"/>
      <c r="E47"/>
      <c r="F47"/>
    </row>
    <row r="48" spans="2:6" ht="15.75" x14ac:dyDescent="0.25">
      <c r="B48"/>
      <c r="C48"/>
      <c r="D48"/>
      <c r="E48"/>
      <c r="F48"/>
    </row>
    <row r="49" spans="2:6" ht="15.75" x14ac:dyDescent="0.25">
      <c r="B49"/>
      <c r="C49"/>
      <c r="D49"/>
      <c r="E49"/>
      <c r="F49"/>
    </row>
    <row r="50" spans="2:6" ht="15.75" x14ac:dyDescent="0.25">
      <c r="B50"/>
      <c r="C50"/>
      <c r="D50"/>
      <c r="E50"/>
      <c r="F50"/>
    </row>
  </sheetData>
  <phoneticPr fontId="2" type="noConversion"/>
  <conditionalFormatting sqref="S4">
    <cfRule type="expression" dxfId="1" priority="22">
      <formula>IFERROR(FIND("+",S4),0)&gt;0</formula>
    </cfRule>
  </conditionalFormatting>
  <conditionalFormatting sqref="G6:Q50">
    <cfRule type="expression" dxfId="0" priority="1">
      <formula>IFERROR(FIND("+",G6),0)&gt;0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143"/>
  <sheetViews>
    <sheetView zoomScale="80" zoomScaleNormal="80" workbookViewId="0">
      <selection activeCell="M128" sqref="M128"/>
    </sheetView>
  </sheetViews>
  <sheetFormatPr defaultRowHeight="15" x14ac:dyDescent="0.25"/>
  <cols>
    <col min="1" max="1" width="9.140625" style="55"/>
    <col min="2" max="2" width="9.140625" style="55" customWidth="1"/>
    <col min="3" max="3" width="6" style="55" customWidth="1"/>
    <col min="4" max="4" width="5.28515625" style="55" customWidth="1"/>
    <col min="5" max="7" width="3.85546875" style="55" customWidth="1"/>
    <col min="8" max="8" width="8.140625" style="55" customWidth="1"/>
    <col min="9" max="9" width="7.42578125" style="55" customWidth="1"/>
    <col min="10" max="10" width="8.140625" style="55" customWidth="1"/>
    <col min="11" max="11" width="7" style="55" customWidth="1"/>
    <col min="12" max="16384" width="9.140625" style="55"/>
  </cols>
  <sheetData>
    <row r="1" spans="1:11" x14ac:dyDescent="0.25">
      <c r="A1" s="54" t="s">
        <v>402</v>
      </c>
    </row>
    <row r="3" spans="1:11" x14ac:dyDescent="0.25">
      <c r="A3" s="55">
        <v>1</v>
      </c>
      <c r="B3" s="55" t="s">
        <v>147</v>
      </c>
      <c r="C3" s="55" t="s">
        <v>926</v>
      </c>
      <c r="D3" s="55" t="s">
        <v>76</v>
      </c>
      <c r="E3" s="55" t="s">
        <v>77</v>
      </c>
      <c r="F3" s="55" t="s">
        <v>78</v>
      </c>
      <c r="G3" s="55" t="s">
        <v>928</v>
      </c>
      <c r="H3" s="55" t="s">
        <v>929</v>
      </c>
      <c r="I3" s="55" t="s">
        <v>930</v>
      </c>
      <c r="J3" s="55" t="s">
        <v>931</v>
      </c>
      <c r="K3" s="55" t="s">
        <v>932</v>
      </c>
    </row>
    <row r="4" spans="1:11" x14ac:dyDescent="0.25">
      <c r="C4" s="55" t="s">
        <v>927</v>
      </c>
      <c r="H4" s="55" t="s">
        <v>401</v>
      </c>
      <c r="I4" s="55" t="s">
        <v>401</v>
      </c>
      <c r="J4" s="55" t="s">
        <v>401</v>
      </c>
      <c r="K4" s="55" t="s">
        <v>933</v>
      </c>
    </row>
    <row r="5" spans="1:11" x14ac:dyDescent="0.25">
      <c r="B5" s="55">
        <v>1</v>
      </c>
      <c r="C5" s="55">
        <v>14</v>
      </c>
      <c r="D5" s="55">
        <v>4</v>
      </c>
      <c r="E5" s="55">
        <v>0</v>
      </c>
      <c r="F5" s="55">
        <v>0</v>
      </c>
      <c r="G5" s="55">
        <v>1</v>
      </c>
      <c r="H5" s="55">
        <v>29</v>
      </c>
      <c r="I5" s="55">
        <v>29</v>
      </c>
      <c r="J5" s="55">
        <v>29</v>
      </c>
      <c r="K5" s="55">
        <v>36</v>
      </c>
    </row>
    <row r="6" spans="1:11" x14ac:dyDescent="0.25">
      <c r="B6" s="55">
        <v>2</v>
      </c>
      <c r="C6" s="55">
        <v>14</v>
      </c>
      <c r="D6" s="55">
        <v>2</v>
      </c>
      <c r="E6" s="55">
        <v>1</v>
      </c>
      <c r="F6" s="55">
        <v>4</v>
      </c>
      <c r="G6" s="55">
        <v>0</v>
      </c>
      <c r="H6" s="55">
        <v>14</v>
      </c>
      <c r="I6" s="55">
        <v>21</v>
      </c>
      <c r="J6" s="55">
        <v>50</v>
      </c>
      <c r="K6" s="55">
        <v>50</v>
      </c>
    </row>
    <row r="7" spans="1:11" x14ac:dyDescent="0.25">
      <c r="B7" s="55">
        <v>3</v>
      </c>
      <c r="C7" s="55">
        <v>14</v>
      </c>
      <c r="D7" s="55">
        <v>3</v>
      </c>
      <c r="E7" s="55">
        <v>3</v>
      </c>
      <c r="F7" s="55">
        <v>1</v>
      </c>
      <c r="G7" s="55">
        <v>1</v>
      </c>
      <c r="H7" s="55">
        <v>21</v>
      </c>
      <c r="I7" s="55">
        <v>43</v>
      </c>
      <c r="J7" s="55">
        <v>50</v>
      </c>
      <c r="K7" s="55">
        <v>57</v>
      </c>
    </row>
    <row r="8" spans="1:11" x14ac:dyDescent="0.25">
      <c r="B8" s="55">
        <v>4</v>
      </c>
      <c r="C8" s="55">
        <v>14</v>
      </c>
      <c r="D8" s="55">
        <v>0</v>
      </c>
      <c r="E8" s="55">
        <v>1</v>
      </c>
      <c r="F8" s="55">
        <v>1</v>
      </c>
      <c r="G8" s="55">
        <v>3</v>
      </c>
      <c r="H8" s="55">
        <v>0</v>
      </c>
      <c r="I8" s="55">
        <v>7</v>
      </c>
      <c r="J8" s="55">
        <v>14</v>
      </c>
      <c r="K8" s="55">
        <v>36</v>
      </c>
    </row>
    <row r="9" spans="1:11" x14ac:dyDescent="0.25">
      <c r="B9" s="55">
        <v>5</v>
      </c>
      <c r="C9" s="55">
        <v>14</v>
      </c>
      <c r="D9" s="55">
        <v>2</v>
      </c>
      <c r="E9" s="55">
        <v>2</v>
      </c>
      <c r="F9" s="55">
        <v>2</v>
      </c>
      <c r="G9" s="55">
        <v>0</v>
      </c>
      <c r="H9" s="55">
        <v>14</v>
      </c>
      <c r="I9" s="55">
        <v>29</v>
      </c>
      <c r="J9" s="55">
        <v>43</v>
      </c>
      <c r="K9" s="55">
        <v>43</v>
      </c>
    </row>
    <row r="10" spans="1:11" x14ac:dyDescent="0.25">
      <c r="B10" s="55">
        <v>6</v>
      </c>
      <c r="C10" s="55">
        <v>14</v>
      </c>
      <c r="D10" s="55">
        <v>0</v>
      </c>
      <c r="E10" s="55">
        <v>3</v>
      </c>
      <c r="F10" s="55">
        <v>0</v>
      </c>
      <c r="G10" s="55">
        <v>0</v>
      </c>
      <c r="H10" s="55">
        <v>0</v>
      </c>
      <c r="I10" s="55">
        <v>21</v>
      </c>
      <c r="J10" s="55">
        <v>21</v>
      </c>
      <c r="K10" s="55">
        <v>21</v>
      </c>
    </row>
    <row r="11" spans="1:11" x14ac:dyDescent="0.25">
      <c r="B11" s="55">
        <v>7</v>
      </c>
      <c r="C11" s="55">
        <v>14</v>
      </c>
      <c r="D11" s="55">
        <v>0</v>
      </c>
      <c r="E11" s="55">
        <v>0</v>
      </c>
      <c r="F11" s="55">
        <v>0</v>
      </c>
      <c r="G11" s="55">
        <v>4</v>
      </c>
      <c r="H11" s="55">
        <v>0</v>
      </c>
      <c r="I11" s="55">
        <v>0</v>
      </c>
      <c r="J11" s="55">
        <v>0</v>
      </c>
      <c r="K11" s="55">
        <v>29</v>
      </c>
    </row>
    <row r="12" spans="1:11" x14ac:dyDescent="0.25">
      <c r="B12" s="55">
        <v>8</v>
      </c>
      <c r="C12" s="55">
        <v>14</v>
      </c>
      <c r="D12" s="55">
        <v>0</v>
      </c>
      <c r="E12" s="55">
        <v>0</v>
      </c>
      <c r="F12" s="55">
        <v>3</v>
      </c>
      <c r="G12" s="55">
        <v>0</v>
      </c>
      <c r="H12" s="55">
        <v>0</v>
      </c>
      <c r="I12" s="55">
        <v>0</v>
      </c>
      <c r="J12" s="55">
        <v>21</v>
      </c>
      <c r="K12" s="55">
        <v>21</v>
      </c>
    </row>
    <row r="13" spans="1:11" x14ac:dyDescent="0.25">
      <c r="B13" s="55">
        <v>9</v>
      </c>
      <c r="C13" s="55">
        <v>13</v>
      </c>
      <c r="D13" s="55">
        <v>0</v>
      </c>
      <c r="E13" s="55">
        <v>1</v>
      </c>
      <c r="F13" s="55">
        <v>1</v>
      </c>
      <c r="G13" s="55">
        <v>1</v>
      </c>
      <c r="H13" s="55">
        <v>0</v>
      </c>
      <c r="I13" s="55">
        <v>8</v>
      </c>
      <c r="J13" s="55">
        <v>15</v>
      </c>
      <c r="K13" s="55">
        <v>23</v>
      </c>
    </row>
    <row r="14" spans="1:11" x14ac:dyDescent="0.25">
      <c r="B14" s="55">
        <v>10</v>
      </c>
      <c r="C14" s="55">
        <v>13</v>
      </c>
      <c r="D14" s="55">
        <v>1</v>
      </c>
      <c r="E14" s="55">
        <v>2</v>
      </c>
      <c r="F14" s="55">
        <v>0</v>
      </c>
      <c r="G14" s="55">
        <v>1</v>
      </c>
      <c r="H14" s="55">
        <v>8</v>
      </c>
      <c r="I14" s="55">
        <v>23</v>
      </c>
      <c r="J14" s="55">
        <v>23</v>
      </c>
      <c r="K14" s="55">
        <v>31</v>
      </c>
    </row>
    <row r="15" spans="1:11" x14ac:dyDescent="0.25">
      <c r="B15" s="55">
        <v>11</v>
      </c>
      <c r="C15" s="55">
        <v>13</v>
      </c>
      <c r="D15" s="55">
        <v>0</v>
      </c>
      <c r="E15" s="55">
        <v>1</v>
      </c>
      <c r="F15" s="55">
        <v>2</v>
      </c>
      <c r="G15" s="55">
        <v>0</v>
      </c>
      <c r="H15" s="55">
        <v>0</v>
      </c>
      <c r="I15" s="55">
        <v>8</v>
      </c>
      <c r="J15" s="55">
        <v>23</v>
      </c>
      <c r="K15" s="55">
        <v>23</v>
      </c>
    </row>
    <row r="16" spans="1:11" x14ac:dyDescent="0.25">
      <c r="B16" s="55">
        <v>12</v>
      </c>
      <c r="C16" s="55">
        <v>13</v>
      </c>
      <c r="D16" s="55">
        <v>2</v>
      </c>
      <c r="E16" s="55">
        <v>0</v>
      </c>
      <c r="F16" s="55">
        <v>0</v>
      </c>
      <c r="G16" s="55">
        <v>3</v>
      </c>
      <c r="H16" s="55">
        <v>15</v>
      </c>
      <c r="I16" s="55">
        <v>15</v>
      </c>
      <c r="J16" s="55">
        <v>15</v>
      </c>
      <c r="K16" s="55">
        <v>38</v>
      </c>
    </row>
    <row r="17" spans="1:11" x14ac:dyDescent="0.25">
      <c r="B17" s="55" t="s">
        <v>934</v>
      </c>
      <c r="D17" s="55" t="s">
        <v>935</v>
      </c>
    </row>
    <row r="21" spans="1:11" x14ac:dyDescent="0.25">
      <c r="A21" s="55">
        <v>2</v>
      </c>
      <c r="B21" s="55" t="s">
        <v>147</v>
      </c>
      <c r="C21" s="55" t="s">
        <v>926</v>
      </c>
      <c r="D21" s="55" t="s">
        <v>76</v>
      </c>
      <c r="E21" s="55" t="s">
        <v>77</v>
      </c>
      <c r="F21" s="55" t="s">
        <v>78</v>
      </c>
      <c r="G21" s="55" t="s">
        <v>928</v>
      </c>
      <c r="H21" s="55" t="s">
        <v>929</v>
      </c>
      <c r="I21" s="55" t="s">
        <v>930</v>
      </c>
      <c r="J21" s="55" t="s">
        <v>931</v>
      </c>
      <c r="K21" s="55" t="s">
        <v>932</v>
      </c>
    </row>
    <row r="22" spans="1:11" x14ac:dyDescent="0.25">
      <c r="C22" s="55" t="s">
        <v>927</v>
      </c>
      <c r="H22" s="55" t="s">
        <v>401</v>
      </c>
      <c r="I22" s="55" t="s">
        <v>401</v>
      </c>
      <c r="J22" s="55" t="s">
        <v>401</v>
      </c>
      <c r="K22" s="55" t="s">
        <v>933</v>
      </c>
    </row>
    <row r="23" spans="1:11" x14ac:dyDescent="0.25">
      <c r="B23" s="55">
        <v>1</v>
      </c>
      <c r="C23" s="55">
        <v>14</v>
      </c>
      <c r="D23" s="55">
        <v>1</v>
      </c>
      <c r="E23" s="55">
        <v>1</v>
      </c>
      <c r="F23" s="55">
        <v>1</v>
      </c>
      <c r="G23" s="55">
        <v>2</v>
      </c>
      <c r="H23" s="55">
        <v>7</v>
      </c>
      <c r="I23" s="55">
        <v>14</v>
      </c>
      <c r="J23" s="55">
        <v>21</v>
      </c>
      <c r="K23" s="55">
        <v>36</v>
      </c>
    </row>
    <row r="24" spans="1:11" x14ac:dyDescent="0.25">
      <c r="B24" s="55">
        <v>2</v>
      </c>
      <c r="C24" s="55">
        <v>14</v>
      </c>
      <c r="D24" s="55">
        <v>0</v>
      </c>
      <c r="E24" s="55">
        <v>1</v>
      </c>
      <c r="F24" s="55">
        <v>4</v>
      </c>
      <c r="G24" s="55">
        <v>1</v>
      </c>
      <c r="H24" s="55">
        <v>0</v>
      </c>
      <c r="I24" s="55">
        <v>7</v>
      </c>
      <c r="J24" s="55">
        <v>36</v>
      </c>
      <c r="K24" s="55">
        <v>43</v>
      </c>
    </row>
    <row r="25" spans="1:11" x14ac:dyDescent="0.25">
      <c r="B25" s="55">
        <v>3</v>
      </c>
      <c r="C25" s="55">
        <v>14</v>
      </c>
      <c r="D25" s="55">
        <v>3</v>
      </c>
      <c r="E25" s="55">
        <v>0</v>
      </c>
      <c r="F25" s="55">
        <v>0</v>
      </c>
      <c r="G25" s="55">
        <v>1</v>
      </c>
      <c r="H25" s="55">
        <v>21</v>
      </c>
      <c r="I25" s="55">
        <v>21</v>
      </c>
      <c r="J25" s="55">
        <v>21</v>
      </c>
      <c r="K25" s="55">
        <v>29</v>
      </c>
    </row>
    <row r="26" spans="1:11" x14ac:dyDescent="0.25">
      <c r="B26" s="55">
        <v>4</v>
      </c>
      <c r="C26" s="55">
        <v>14</v>
      </c>
      <c r="D26" s="55">
        <v>2</v>
      </c>
      <c r="E26" s="55">
        <v>1</v>
      </c>
      <c r="F26" s="55">
        <v>1</v>
      </c>
      <c r="G26" s="55">
        <v>1</v>
      </c>
      <c r="H26" s="55">
        <v>14</v>
      </c>
      <c r="I26" s="55">
        <v>21</v>
      </c>
      <c r="J26" s="55">
        <v>29</v>
      </c>
      <c r="K26" s="55">
        <v>36</v>
      </c>
    </row>
    <row r="27" spans="1:11" x14ac:dyDescent="0.25">
      <c r="B27" s="55">
        <v>5</v>
      </c>
      <c r="C27" s="55">
        <v>14</v>
      </c>
      <c r="D27" s="55">
        <v>1</v>
      </c>
      <c r="E27" s="55">
        <v>3</v>
      </c>
      <c r="F27" s="55">
        <v>2</v>
      </c>
      <c r="G27" s="55">
        <v>1</v>
      </c>
      <c r="H27" s="55">
        <v>7</v>
      </c>
      <c r="I27" s="55">
        <v>29</v>
      </c>
      <c r="J27" s="55">
        <v>43</v>
      </c>
      <c r="K27" s="55">
        <v>50</v>
      </c>
    </row>
    <row r="28" spans="1:11" x14ac:dyDescent="0.25">
      <c r="B28" s="55">
        <v>6</v>
      </c>
      <c r="C28" s="55">
        <v>14</v>
      </c>
      <c r="D28" s="55">
        <v>0</v>
      </c>
      <c r="E28" s="55">
        <v>2</v>
      </c>
      <c r="F28" s="55">
        <v>2</v>
      </c>
      <c r="G28" s="55">
        <v>0</v>
      </c>
      <c r="H28" s="55">
        <v>0</v>
      </c>
      <c r="I28" s="55">
        <v>14</v>
      </c>
      <c r="J28" s="55">
        <v>29</v>
      </c>
      <c r="K28" s="55">
        <v>29</v>
      </c>
    </row>
    <row r="29" spans="1:11" x14ac:dyDescent="0.25">
      <c r="B29" s="55">
        <v>7</v>
      </c>
      <c r="C29" s="55">
        <v>14</v>
      </c>
      <c r="D29" s="55">
        <v>1</v>
      </c>
      <c r="E29" s="55">
        <v>2</v>
      </c>
      <c r="F29" s="55">
        <v>1</v>
      </c>
      <c r="G29" s="55">
        <v>0</v>
      </c>
      <c r="H29" s="55">
        <v>7</v>
      </c>
      <c r="I29" s="55">
        <v>21</v>
      </c>
      <c r="J29" s="55">
        <v>29</v>
      </c>
      <c r="K29" s="55">
        <v>29</v>
      </c>
    </row>
    <row r="30" spans="1:11" x14ac:dyDescent="0.25">
      <c r="B30" s="55">
        <v>8</v>
      </c>
      <c r="C30" s="55">
        <v>14</v>
      </c>
      <c r="D30" s="55">
        <v>0</v>
      </c>
      <c r="E30" s="55">
        <v>2</v>
      </c>
      <c r="F30" s="55">
        <v>0</v>
      </c>
      <c r="G30" s="55">
        <v>3</v>
      </c>
      <c r="H30" s="55">
        <v>0</v>
      </c>
      <c r="I30" s="55">
        <v>14</v>
      </c>
      <c r="J30" s="55">
        <v>14</v>
      </c>
      <c r="K30" s="55">
        <v>36</v>
      </c>
    </row>
    <row r="31" spans="1:11" x14ac:dyDescent="0.25">
      <c r="B31" s="55">
        <v>9</v>
      </c>
      <c r="C31" s="55">
        <v>14</v>
      </c>
      <c r="D31" s="55">
        <v>1</v>
      </c>
      <c r="E31" s="55">
        <v>0</v>
      </c>
      <c r="F31" s="55">
        <v>1</v>
      </c>
      <c r="G31" s="55">
        <v>2</v>
      </c>
      <c r="H31" s="55">
        <v>7</v>
      </c>
      <c r="I31" s="55">
        <v>7</v>
      </c>
      <c r="J31" s="55">
        <v>14</v>
      </c>
      <c r="K31" s="55">
        <v>29</v>
      </c>
    </row>
    <row r="32" spans="1:11" x14ac:dyDescent="0.25">
      <c r="B32" s="55">
        <v>10</v>
      </c>
      <c r="C32" s="55">
        <v>14</v>
      </c>
      <c r="D32" s="55">
        <v>3</v>
      </c>
      <c r="E32" s="55">
        <v>1</v>
      </c>
      <c r="F32" s="55">
        <v>0</v>
      </c>
      <c r="G32" s="55">
        <v>1</v>
      </c>
      <c r="H32" s="55">
        <v>21</v>
      </c>
      <c r="I32" s="55">
        <v>29</v>
      </c>
      <c r="J32" s="55">
        <v>29</v>
      </c>
      <c r="K32" s="55">
        <v>36</v>
      </c>
    </row>
    <row r="33" spans="1:11" x14ac:dyDescent="0.25">
      <c r="B33" s="55">
        <v>11</v>
      </c>
      <c r="C33" s="55">
        <v>12</v>
      </c>
      <c r="D33" s="55">
        <v>1</v>
      </c>
      <c r="E33" s="55">
        <v>1</v>
      </c>
      <c r="F33" s="55">
        <v>0</v>
      </c>
      <c r="G33" s="55">
        <v>1</v>
      </c>
      <c r="H33" s="55">
        <v>8</v>
      </c>
      <c r="I33" s="55">
        <v>17</v>
      </c>
      <c r="J33" s="55">
        <v>17</v>
      </c>
      <c r="K33" s="55">
        <v>25</v>
      </c>
    </row>
    <row r="34" spans="1:11" x14ac:dyDescent="0.25">
      <c r="B34" s="55">
        <v>12</v>
      </c>
      <c r="C34" s="55">
        <v>12</v>
      </c>
      <c r="D34" s="55">
        <v>1</v>
      </c>
      <c r="E34" s="55">
        <v>0</v>
      </c>
      <c r="F34" s="55">
        <v>2</v>
      </c>
      <c r="G34" s="55">
        <v>1</v>
      </c>
      <c r="H34" s="55">
        <v>8</v>
      </c>
      <c r="I34" s="55">
        <v>8</v>
      </c>
      <c r="J34" s="55">
        <v>25</v>
      </c>
      <c r="K34" s="55">
        <v>33</v>
      </c>
    </row>
    <row r="35" spans="1:11" x14ac:dyDescent="0.25">
      <c r="B35" s="55" t="s">
        <v>934</v>
      </c>
      <c r="D35" s="55" t="s">
        <v>936</v>
      </c>
    </row>
    <row r="39" spans="1:11" x14ac:dyDescent="0.25">
      <c r="A39" s="55">
        <v>3</v>
      </c>
      <c r="B39" s="55" t="s">
        <v>147</v>
      </c>
      <c r="C39" s="55" t="s">
        <v>926</v>
      </c>
      <c r="D39" s="55" t="s">
        <v>76</v>
      </c>
      <c r="E39" s="55" t="s">
        <v>77</v>
      </c>
      <c r="F39" s="55" t="s">
        <v>78</v>
      </c>
      <c r="G39" s="55" t="s">
        <v>928</v>
      </c>
      <c r="H39" s="55" t="s">
        <v>929</v>
      </c>
      <c r="I39" s="55" t="s">
        <v>930</v>
      </c>
      <c r="J39" s="55" t="s">
        <v>931</v>
      </c>
      <c r="K39" s="55" t="s">
        <v>932</v>
      </c>
    </row>
    <row r="40" spans="1:11" x14ac:dyDescent="0.25">
      <c r="C40" s="55" t="s">
        <v>927</v>
      </c>
      <c r="H40" s="55" t="s">
        <v>401</v>
      </c>
      <c r="I40" s="55" t="s">
        <v>401</v>
      </c>
      <c r="J40" s="55" t="s">
        <v>401</v>
      </c>
      <c r="K40" s="55" t="s">
        <v>933</v>
      </c>
    </row>
    <row r="41" spans="1:11" x14ac:dyDescent="0.25">
      <c r="B41" s="55">
        <v>1</v>
      </c>
      <c r="C41" s="55">
        <v>59</v>
      </c>
      <c r="D41" s="55">
        <v>6</v>
      </c>
      <c r="E41" s="55">
        <v>10</v>
      </c>
      <c r="F41" s="55">
        <v>3</v>
      </c>
      <c r="G41" s="55">
        <v>4</v>
      </c>
      <c r="H41" s="55">
        <v>10</v>
      </c>
      <c r="I41" s="55">
        <v>27</v>
      </c>
      <c r="J41" s="55">
        <v>32</v>
      </c>
      <c r="K41" s="55">
        <v>39</v>
      </c>
    </row>
    <row r="42" spans="1:11" x14ac:dyDescent="0.25">
      <c r="B42" s="55">
        <v>2</v>
      </c>
      <c r="C42" s="55">
        <v>59</v>
      </c>
      <c r="D42" s="55">
        <v>5</v>
      </c>
      <c r="E42" s="55">
        <v>2</v>
      </c>
      <c r="F42" s="55">
        <v>7</v>
      </c>
      <c r="G42" s="55">
        <v>6</v>
      </c>
      <c r="H42" s="55">
        <v>8</v>
      </c>
      <c r="I42" s="55">
        <v>12</v>
      </c>
      <c r="J42" s="55">
        <v>24</v>
      </c>
      <c r="K42" s="55">
        <v>34</v>
      </c>
    </row>
    <row r="43" spans="1:11" x14ac:dyDescent="0.25">
      <c r="B43" s="55">
        <v>3</v>
      </c>
      <c r="C43" s="55">
        <v>59</v>
      </c>
      <c r="D43" s="55">
        <v>7</v>
      </c>
      <c r="E43" s="55">
        <v>8</v>
      </c>
      <c r="F43" s="55">
        <v>8</v>
      </c>
      <c r="G43" s="55">
        <v>4</v>
      </c>
      <c r="H43" s="55">
        <v>12</v>
      </c>
      <c r="I43" s="55">
        <v>25</v>
      </c>
      <c r="J43" s="55">
        <v>39</v>
      </c>
      <c r="K43" s="55">
        <v>46</v>
      </c>
    </row>
    <row r="44" spans="1:11" x14ac:dyDescent="0.25">
      <c r="B44" s="55">
        <v>4</v>
      </c>
      <c r="C44" s="55">
        <v>60</v>
      </c>
      <c r="D44" s="55">
        <v>5</v>
      </c>
      <c r="E44" s="55">
        <v>7</v>
      </c>
      <c r="F44" s="55">
        <v>7</v>
      </c>
      <c r="G44" s="55">
        <v>6</v>
      </c>
      <c r="H44" s="55">
        <v>8</v>
      </c>
      <c r="I44" s="55">
        <v>20</v>
      </c>
      <c r="J44" s="55">
        <v>32</v>
      </c>
      <c r="K44" s="55">
        <v>42</v>
      </c>
    </row>
    <row r="45" spans="1:11" x14ac:dyDescent="0.25">
      <c r="B45" s="55">
        <v>5</v>
      </c>
      <c r="C45" s="55">
        <v>60</v>
      </c>
      <c r="D45" s="55">
        <v>5</v>
      </c>
      <c r="E45" s="55">
        <v>6</v>
      </c>
      <c r="F45" s="55">
        <v>7</v>
      </c>
      <c r="G45" s="55">
        <v>4</v>
      </c>
      <c r="H45" s="55">
        <v>8</v>
      </c>
      <c r="I45" s="55">
        <v>18</v>
      </c>
      <c r="J45" s="55">
        <v>30</v>
      </c>
      <c r="K45" s="55">
        <v>37</v>
      </c>
    </row>
    <row r="46" spans="1:11" x14ac:dyDescent="0.25">
      <c r="B46" s="55">
        <v>6</v>
      </c>
      <c r="C46" s="55">
        <v>60</v>
      </c>
      <c r="D46" s="55">
        <v>9</v>
      </c>
      <c r="E46" s="55">
        <v>2</v>
      </c>
      <c r="F46" s="55">
        <v>5</v>
      </c>
      <c r="G46" s="55">
        <v>4</v>
      </c>
      <c r="H46" s="55">
        <v>15</v>
      </c>
      <c r="I46" s="55">
        <v>18</v>
      </c>
      <c r="J46" s="55">
        <v>27</v>
      </c>
      <c r="K46" s="55">
        <v>33</v>
      </c>
    </row>
    <row r="47" spans="1:11" x14ac:dyDescent="0.25">
      <c r="B47" s="55">
        <v>7</v>
      </c>
      <c r="C47" s="55">
        <v>59</v>
      </c>
      <c r="D47" s="55">
        <v>3</v>
      </c>
      <c r="E47" s="55">
        <v>7</v>
      </c>
      <c r="F47" s="55">
        <v>2</v>
      </c>
      <c r="G47" s="55">
        <v>5</v>
      </c>
      <c r="H47" s="55">
        <v>5</v>
      </c>
      <c r="I47" s="55">
        <v>17</v>
      </c>
      <c r="J47" s="55">
        <v>20</v>
      </c>
      <c r="K47" s="55">
        <v>29</v>
      </c>
    </row>
    <row r="48" spans="1:11" x14ac:dyDescent="0.25">
      <c r="B48" s="55">
        <v>8</v>
      </c>
      <c r="C48" s="55">
        <v>60</v>
      </c>
      <c r="D48" s="55">
        <v>4</v>
      </c>
      <c r="E48" s="55">
        <v>4</v>
      </c>
      <c r="F48" s="55">
        <v>5</v>
      </c>
      <c r="G48" s="55">
        <v>6</v>
      </c>
      <c r="H48" s="55">
        <v>7</v>
      </c>
      <c r="I48" s="55">
        <v>13</v>
      </c>
      <c r="J48" s="55">
        <v>22</v>
      </c>
      <c r="K48" s="55">
        <v>32</v>
      </c>
    </row>
    <row r="49" spans="1:11" x14ac:dyDescent="0.25">
      <c r="B49" s="55">
        <v>9</v>
      </c>
      <c r="C49" s="55">
        <v>60</v>
      </c>
      <c r="D49" s="55">
        <v>4</v>
      </c>
      <c r="E49" s="55">
        <v>2</v>
      </c>
      <c r="F49" s="55">
        <v>4</v>
      </c>
      <c r="G49" s="55">
        <v>8</v>
      </c>
      <c r="H49" s="55">
        <v>7</v>
      </c>
      <c r="I49" s="55">
        <v>10</v>
      </c>
      <c r="J49" s="55">
        <v>17</v>
      </c>
      <c r="K49" s="55">
        <v>30</v>
      </c>
    </row>
    <row r="50" spans="1:11" x14ac:dyDescent="0.25">
      <c r="B50" s="55">
        <v>10</v>
      </c>
      <c r="C50" s="55">
        <v>59</v>
      </c>
      <c r="D50" s="55">
        <v>5</v>
      </c>
      <c r="E50" s="55">
        <v>4</v>
      </c>
      <c r="F50" s="55">
        <v>5</v>
      </c>
      <c r="G50" s="55">
        <v>5</v>
      </c>
      <c r="H50" s="55">
        <v>8</v>
      </c>
      <c r="I50" s="55">
        <v>15</v>
      </c>
      <c r="J50" s="55">
        <v>24</v>
      </c>
      <c r="K50" s="55">
        <v>32</v>
      </c>
    </row>
    <row r="51" spans="1:11" x14ac:dyDescent="0.25">
      <c r="B51" s="55">
        <v>11</v>
      </c>
      <c r="C51" s="55">
        <v>60</v>
      </c>
      <c r="D51" s="55">
        <v>3</v>
      </c>
      <c r="E51" s="55">
        <v>5</v>
      </c>
      <c r="F51" s="55">
        <v>5</v>
      </c>
      <c r="G51" s="55">
        <v>5</v>
      </c>
      <c r="H51" s="55">
        <v>5</v>
      </c>
      <c r="I51" s="55">
        <v>13</v>
      </c>
      <c r="J51" s="55">
        <v>22</v>
      </c>
      <c r="K51" s="55">
        <v>30</v>
      </c>
    </row>
    <row r="52" spans="1:11" x14ac:dyDescent="0.25">
      <c r="B52" s="55">
        <v>12</v>
      </c>
      <c r="C52" s="55">
        <v>54</v>
      </c>
      <c r="D52" s="55">
        <v>4</v>
      </c>
      <c r="E52" s="55">
        <v>3</v>
      </c>
      <c r="F52" s="55">
        <v>2</v>
      </c>
      <c r="G52" s="55">
        <v>3</v>
      </c>
      <c r="H52" s="55">
        <v>7</v>
      </c>
      <c r="I52" s="55">
        <v>13</v>
      </c>
      <c r="J52" s="55">
        <v>17</v>
      </c>
      <c r="K52" s="55">
        <v>22</v>
      </c>
    </row>
    <row r="53" spans="1:11" x14ac:dyDescent="0.25">
      <c r="B53" s="55" t="s">
        <v>934</v>
      </c>
      <c r="D53" s="55" t="s">
        <v>937</v>
      </c>
    </row>
    <row r="57" spans="1:11" x14ac:dyDescent="0.25">
      <c r="A57" s="55">
        <v>4</v>
      </c>
      <c r="B57" s="55" t="s">
        <v>147</v>
      </c>
      <c r="C57" s="55" t="s">
        <v>926</v>
      </c>
      <c r="D57" s="55" t="s">
        <v>76</v>
      </c>
      <c r="E57" s="55" t="s">
        <v>77</v>
      </c>
      <c r="F57" s="55" t="s">
        <v>78</v>
      </c>
      <c r="G57" s="55" t="s">
        <v>928</v>
      </c>
      <c r="H57" s="55" t="s">
        <v>929</v>
      </c>
      <c r="I57" s="55" t="s">
        <v>930</v>
      </c>
      <c r="J57" s="55" t="s">
        <v>931</v>
      </c>
      <c r="K57" s="55" t="s">
        <v>932</v>
      </c>
    </row>
    <row r="58" spans="1:11" x14ac:dyDescent="0.25">
      <c r="C58" s="55" t="s">
        <v>927</v>
      </c>
      <c r="H58" s="55" t="s">
        <v>401</v>
      </c>
      <c r="I58" s="55" t="s">
        <v>401</v>
      </c>
      <c r="J58" s="55" t="s">
        <v>401</v>
      </c>
      <c r="K58" s="55" t="s">
        <v>933</v>
      </c>
    </row>
    <row r="59" spans="1:11" x14ac:dyDescent="0.25">
      <c r="B59" s="55">
        <v>1</v>
      </c>
      <c r="C59" s="55">
        <v>59</v>
      </c>
      <c r="D59" s="55">
        <v>6</v>
      </c>
      <c r="E59" s="55">
        <v>10</v>
      </c>
      <c r="F59" s="55">
        <v>3</v>
      </c>
      <c r="G59" s="55">
        <v>4</v>
      </c>
      <c r="H59" s="55">
        <v>10</v>
      </c>
      <c r="I59" s="55">
        <v>27</v>
      </c>
      <c r="J59" s="55">
        <v>32</v>
      </c>
      <c r="K59" s="55">
        <v>39</v>
      </c>
    </row>
    <row r="60" spans="1:11" x14ac:dyDescent="0.25">
      <c r="B60" s="55">
        <v>2</v>
      </c>
      <c r="C60" s="55">
        <v>59</v>
      </c>
      <c r="D60" s="55">
        <v>5</v>
      </c>
      <c r="E60" s="55">
        <v>2</v>
      </c>
      <c r="F60" s="55">
        <v>7</v>
      </c>
      <c r="G60" s="55">
        <v>6</v>
      </c>
      <c r="H60" s="55">
        <v>8</v>
      </c>
      <c r="I60" s="55">
        <v>12</v>
      </c>
      <c r="J60" s="55">
        <v>24</v>
      </c>
      <c r="K60" s="55">
        <v>34</v>
      </c>
    </row>
    <row r="61" spans="1:11" x14ac:dyDescent="0.25">
      <c r="B61" s="55">
        <v>3</v>
      </c>
      <c r="C61" s="55">
        <v>59</v>
      </c>
      <c r="D61" s="55">
        <v>7</v>
      </c>
      <c r="E61" s="55">
        <v>8</v>
      </c>
      <c r="F61" s="55">
        <v>8</v>
      </c>
      <c r="G61" s="55">
        <v>4</v>
      </c>
      <c r="H61" s="55">
        <v>12</v>
      </c>
      <c r="I61" s="55">
        <v>25</v>
      </c>
      <c r="J61" s="55">
        <v>39</v>
      </c>
      <c r="K61" s="55">
        <v>46</v>
      </c>
    </row>
    <row r="62" spans="1:11" x14ac:dyDescent="0.25">
      <c r="B62" s="55">
        <v>4</v>
      </c>
      <c r="C62" s="55">
        <v>60</v>
      </c>
      <c r="D62" s="55">
        <v>5</v>
      </c>
      <c r="E62" s="55">
        <v>7</v>
      </c>
      <c r="F62" s="55">
        <v>7</v>
      </c>
      <c r="G62" s="55">
        <v>6</v>
      </c>
      <c r="H62" s="55">
        <v>8</v>
      </c>
      <c r="I62" s="55">
        <v>20</v>
      </c>
      <c r="J62" s="55">
        <v>32</v>
      </c>
      <c r="K62" s="55">
        <v>42</v>
      </c>
    </row>
    <row r="63" spans="1:11" x14ac:dyDescent="0.25">
      <c r="B63" s="55">
        <v>5</v>
      </c>
      <c r="C63" s="55">
        <v>60</v>
      </c>
      <c r="D63" s="55">
        <v>5</v>
      </c>
      <c r="E63" s="55">
        <v>6</v>
      </c>
      <c r="F63" s="55">
        <v>7</v>
      </c>
      <c r="G63" s="55">
        <v>4</v>
      </c>
      <c r="H63" s="55">
        <v>8</v>
      </c>
      <c r="I63" s="55">
        <v>18</v>
      </c>
      <c r="J63" s="55">
        <v>30</v>
      </c>
      <c r="K63" s="55">
        <v>37</v>
      </c>
    </row>
    <row r="64" spans="1:11" x14ac:dyDescent="0.25">
      <c r="B64" s="55">
        <v>6</v>
      </c>
      <c r="C64" s="55">
        <v>60</v>
      </c>
      <c r="D64" s="55">
        <v>9</v>
      </c>
      <c r="E64" s="55">
        <v>2</v>
      </c>
      <c r="F64" s="55">
        <v>5</v>
      </c>
      <c r="G64" s="55">
        <v>4</v>
      </c>
      <c r="H64" s="55">
        <v>15</v>
      </c>
      <c r="I64" s="55">
        <v>18</v>
      </c>
      <c r="J64" s="55">
        <v>27</v>
      </c>
      <c r="K64" s="55">
        <v>33</v>
      </c>
    </row>
    <row r="65" spans="1:11" x14ac:dyDescent="0.25">
      <c r="B65" s="55">
        <v>7</v>
      </c>
      <c r="C65" s="55">
        <v>59</v>
      </c>
      <c r="D65" s="55">
        <v>3</v>
      </c>
      <c r="E65" s="55">
        <v>7</v>
      </c>
      <c r="F65" s="55">
        <v>2</v>
      </c>
      <c r="G65" s="55">
        <v>5</v>
      </c>
      <c r="H65" s="55">
        <v>5</v>
      </c>
      <c r="I65" s="55">
        <v>17</v>
      </c>
      <c r="J65" s="55">
        <v>20</v>
      </c>
      <c r="K65" s="55">
        <v>29</v>
      </c>
    </row>
    <row r="66" spans="1:11" x14ac:dyDescent="0.25">
      <c r="B66" s="55">
        <v>8</v>
      </c>
      <c r="C66" s="55">
        <v>60</v>
      </c>
      <c r="D66" s="55">
        <v>4</v>
      </c>
      <c r="E66" s="55">
        <v>4</v>
      </c>
      <c r="F66" s="55">
        <v>5</v>
      </c>
      <c r="G66" s="55">
        <v>6</v>
      </c>
      <c r="H66" s="55">
        <v>7</v>
      </c>
      <c r="I66" s="55">
        <v>13</v>
      </c>
      <c r="J66" s="55">
        <v>22</v>
      </c>
      <c r="K66" s="55">
        <v>32</v>
      </c>
    </row>
    <row r="67" spans="1:11" x14ac:dyDescent="0.25">
      <c r="B67" s="55">
        <v>9</v>
      </c>
      <c r="C67" s="55">
        <v>60</v>
      </c>
      <c r="D67" s="55">
        <v>4</v>
      </c>
      <c r="E67" s="55">
        <v>2</v>
      </c>
      <c r="F67" s="55">
        <v>4</v>
      </c>
      <c r="G67" s="55">
        <v>8</v>
      </c>
      <c r="H67" s="55">
        <v>7</v>
      </c>
      <c r="I67" s="55">
        <v>10</v>
      </c>
      <c r="J67" s="55">
        <v>17</v>
      </c>
      <c r="K67" s="55">
        <v>30</v>
      </c>
    </row>
    <row r="68" spans="1:11" x14ac:dyDescent="0.25">
      <c r="B68" s="55">
        <v>10</v>
      </c>
      <c r="C68" s="55">
        <v>59</v>
      </c>
      <c r="D68" s="55">
        <v>5</v>
      </c>
      <c r="E68" s="55">
        <v>4</v>
      </c>
      <c r="F68" s="55">
        <v>5</v>
      </c>
      <c r="G68" s="55">
        <v>5</v>
      </c>
      <c r="H68" s="55">
        <v>8</v>
      </c>
      <c r="I68" s="55">
        <v>15</v>
      </c>
      <c r="J68" s="55">
        <v>24</v>
      </c>
      <c r="K68" s="55">
        <v>32</v>
      </c>
    </row>
    <row r="69" spans="1:11" x14ac:dyDescent="0.25">
      <c r="B69" s="55">
        <v>11</v>
      </c>
      <c r="C69" s="55">
        <v>60</v>
      </c>
      <c r="D69" s="55">
        <v>3</v>
      </c>
      <c r="E69" s="55">
        <v>5</v>
      </c>
      <c r="F69" s="55">
        <v>5</v>
      </c>
      <c r="G69" s="55">
        <v>5</v>
      </c>
      <c r="H69" s="55">
        <v>5</v>
      </c>
      <c r="I69" s="55">
        <v>13</v>
      </c>
      <c r="J69" s="55">
        <v>22</v>
      </c>
      <c r="K69" s="55">
        <v>30</v>
      </c>
    </row>
    <row r="70" spans="1:11" x14ac:dyDescent="0.25">
      <c r="B70" s="55">
        <v>12</v>
      </c>
      <c r="C70" s="55">
        <v>54</v>
      </c>
      <c r="D70" s="55">
        <v>4</v>
      </c>
      <c r="E70" s="55">
        <v>3</v>
      </c>
      <c r="F70" s="55">
        <v>2</v>
      </c>
      <c r="G70" s="55">
        <v>3</v>
      </c>
      <c r="H70" s="55">
        <v>7</v>
      </c>
      <c r="I70" s="55">
        <v>13</v>
      </c>
      <c r="J70" s="55">
        <v>17</v>
      </c>
      <c r="K70" s="55">
        <v>22</v>
      </c>
    </row>
    <row r="71" spans="1:11" x14ac:dyDescent="0.25">
      <c r="B71" s="55" t="s">
        <v>934</v>
      </c>
      <c r="D71" s="55" t="s">
        <v>937</v>
      </c>
    </row>
    <row r="75" spans="1:11" x14ac:dyDescent="0.25">
      <c r="A75" s="55">
        <v>5</v>
      </c>
      <c r="B75" s="55" t="s">
        <v>147</v>
      </c>
      <c r="C75" s="55" t="s">
        <v>926</v>
      </c>
      <c r="D75" s="55" t="s">
        <v>76</v>
      </c>
      <c r="E75" s="55" t="s">
        <v>77</v>
      </c>
      <c r="F75" s="55" t="s">
        <v>78</v>
      </c>
      <c r="G75" s="55" t="s">
        <v>928</v>
      </c>
      <c r="H75" s="55" t="s">
        <v>929</v>
      </c>
      <c r="I75" s="55" t="s">
        <v>930</v>
      </c>
      <c r="J75" s="55" t="s">
        <v>931</v>
      </c>
      <c r="K75" s="55" t="s">
        <v>932</v>
      </c>
    </row>
    <row r="76" spans="1:11" x14ac:dyDescent="0.25">
      <c r="C76" s="55" t="s">
        <v>927</v>
      </c>
      <c r="H76" s="55" t="s">
        <v>401</v>
      </c>
      <c r="I76" s="55" t="s">
        <v>401</v>
      </c>
      <c r="J76" s="55" t="s">
        <v>401</v>
      </c>
      <c r="K76" s="55" t="s">
        <v>933</v>
      </c>
    </row>
    <row r="77" spans="1:11" x14ac:dyDescent="0.25">
      <c r="B77" s="55">
        <v>1</v>
      </c>
      <c r="C77" s="55">
        <v>45</v>
      </c>
      <c r="D77" s="55">
        <v>6</v>
      </c>
      <c r="E77" s="55">
        <v>3</v>
      </c>
      <c r="F77" s="55">
        <v>6</v>
      </c>
      <c r="G77" s="55">
        <v>5</v>
      </c>
      <c r="H77" s="55">
        <v>13</v>
      </c>
      <c r="I77" s="55">
        <v>20</v>
      </c>
      <c r="J77" s="55">
        <v>33</v>
      </c>
      <c r="K77" s="55">
        <v>44</v>
      </c>
    </row>
    <row r="78" spans="1:11" x14ac:dyDescent="0.25">
      <c r="B78" s="55">
        <v>2</v>
      </c>
      <c r="C78" s="55">
        <v>45</v>
      </c>
      <c r="D78" s="55">
        <v>3</v>
      </c>
      <c r="E78" s="55">
        <v>6</v>
      </c>
      <c r="F78" s="55">
        <v>2</v>
      </c>
      <c r="G78" s="55">
        <v>4</v>
      </c>
      <c r="H78" s="55">
        <v>7</v>
      </c>
      <c r="I78" s="55">
        <v>20</v>
      </c>
      <c r="J78" s="55">
        <v>24</v>
      </c>
      <c r="K78" s="55">
        <v>33</v>
      </c>
    </row>
    <row r="79" spans="1:11" x14ac:dyDescent="0.25">
      <c r="B79" s="55">
        <v>3</v>
      </c>
      <c r="C79" s="55">
        <v>45</v>
      </c>
      <c r="D79" s="55">
        <v>3</v>
      </c>
      <c r="E79" s="55">
        <v>2</v>
      </c>
      <c r="F79" s="55">
        <v>11</v>
      </c>
      <c r="G79" s="55">
        <v>7</v>
      </c>
      <c r="H79" s="55">
        <v>7</v>
      </c>
      <c r="I79" s="55">
        <v>11</v>
      </c>
      <c r="J79" s="55">
        <v>36</v>
      </c>
      <c r="K79" s="55">
        <v>51</v>
      </c>
    </row>
    <row r="80" spans="1:11" x14ac:dyDescent="0.25">
      <c r="B80" s="55">
        <v>4</v>
      </c>
      <c r="C80" s="55">
        <v>45</v>
      </c>
      <c r="D80" s="55">
        <v>6</v>
      </c>
      <c r="E80" s="55">
        <v>6</v>
      </c>
      <c r="F80" s="55">
        <v>2</v>
      </c>
      <c r="G80" s="55">
        <v>4</v>
      </c>
      <c r="H80" s="55">
        <v>13</v>
      </c>
      <c r="I80" s="55">
        <v>27</v>
      </c>
      <c r="J80" s="55">
        <v>31</v>
      </c>
      <c r="K80" s="55">
        <v>40</v>
      </c>
    </row>
    <row r="81" spans="1:11" x14ac:dyDescent="0.25">
      <c r="B81" s="55">
        <v>5</v>
      </c>
      <c r="C81" s="55">
        <v>45</v>
      </c>
      <c r="D81" s="55">
        <v>7</v>
      </c>
      <c r="E81" s="55">
        <v>4</v>
      </c>
      <c r="F81" s="55">
        <v>4</v>
      </c>
      <c r="G81" s="55">
        <v>5</v>
      </c>
      <c r="H81" s="55">
        <v>16</v>
      </c>
      <c r="I81" s="55">
        <v>24</v>
      </c>
      <c r="J81" s="55">
        <v>33</v>
      </c>
      <c r="K81" s="55">
        <v>44</v>
      </c>
    </row>
    <row r="82" spans="1:11" x14ac:dyDescent="0.25">
      <c r="B82" s="55">
        <v>6</v>
      </c>
      <c r="C82" s="55">
        <v>45</v>
      </c>
      <c r="D82" s="55">
        <v>3</v>
      </c>
      <c r="E82" s="55">
        <v>6</v>
      </c>
      <c r="F82" s="55">
        <v>5</v>
      </c>
      <c r="G82" s="55">
        <v>7</v>
      </c>
      <c r="H82" s="55">
        <v>7</v>
      </c>
      <c r="I82" s="55">
        <v>20</v>
      </c>
      <c r="J82" s="55">
        <v>31</v>
      </c>
      <c r="K82" s="55">
        <v>47</v>
      </c>
    </row>
    <row r="83" spans="1:11" x14ac:dyDescent="0.25">
      <c r="B83" s="55">
        <v>7</v>
      </c>
      <c r="C83" s="55">
        <v>45</v>
      </c>
      <c r="D83" s="55">
        <v>2</v>
      </c>
      <c r="E83" s="55">
        <v>3</v>
      </c>
      <c r="F83" s="55">
        <v>5</v>
      </c>
      <c r="G83" s="55">
        <v>3</v>
      </c>
      <c r="H83" s="55">
        <v>4</v>
      </c>
      <c r="I83" s="55">
        <v>11</v>
      </c>
      <c r="J83" s="55">
        <v>22</v>
      </c>
      <c r="K83" s="55">
        <v>29</v>
      </c>
    </row>
    <row r="84" spans="1:11" x14ac:dyDescent="0.25">
      <c r="B84" s="55">
        <v>8</v>
      </c>
      <c r="C84" s="55">
        <v>45</v>
      </c>
      <c r="D84" s="55">
        <v>5</v>
      </c>
      <c r="E84" s="55">
        <v>3</v>
      </c>
      <c r="F84" s="55">
        <v>3</v>
      </c>
      <c r="G84" s="55">
        <v>1</v>
      </c>
      <c r="H84" s="55">
        <v>11</v>
      </c>
      <c r="I84" s="55">
        <v>18</v>
      </c>
      <c r="J84" s="55">
        <v>24</v>
      </c>
      <c r="K84" s="55">
        <v>27</v>
      </c>
    </row>
    <row r="85" spans="1:11" x14ac:dyDescent="0.25">
      <c r="B85" s="55">
        <v>9</v>
      </c>
      <c r="C85" s="55">
        <v>45</v>
      </c>
      <c r="D85" s="55">
        <v>4</v>
      </c>
      <c r="E85" s="55">
        <v>3</v>
      </c>
      <c r="F85" s="55">
        <v>2</v>
      </c>
      <c r="G85" s="55">
        <v>2</v>
      </c>
      <c r="H85" s="55">
        <v>9</v>
      </c>
      <c r="I85" s="55">
        <v>16</v>
      </c>
      <c r="J85" s="55">
        <v>20</v>
      </c>
      <c r="K85" s="55">
        <v>24</v>
      </c>
    </row>
    <row r="86" spans="1:11" x14ac:dyDescent="0.25">
      <c r="B86" s="55">
        <v>10</v>
      </c>
      <c r="C86" s="55">
        <v>44</v>
      </c>
      <c r="D86" s="55">
        <v>3</v>
      </c>
      <c r="E86" s="55">
        <v>2</v>
      </c>
      <c r="F86" s="55">
        <v>4</v>
      </c>
      <c r="G86" s="55">
        <v>3</v>
      </c>
      <c r="H86" s="55">
        <v>7</v>
      </c>
      <c r="I86" s="55">
        <v>11</v>
      </c>
      <c r="J86" s="55">
        <v>20</v>
      </c>
      <c r="K86" s="55">
        <v>27</v>
      </c>
    </row>
    <row r="87" spans="1:11" x14ac:dyDescent="0.25">
      <c r="B87" s="55">
        <v>11</v>
      </c>
      <c r="C87" s="55">
        <v>44</v>
      </c>
      <c r="D87" s="55">
        <v>0</v>
      </c>
      <c r="E87" s="55">
        <v>2</v>
      </c>
      <c r="F87" s="55">
        <v>0</v>
      </c>
      <c r="G87" s="55">
        <v>2</v>
      </c>
      <c r="H87" s="55">
        <v>0</v>
      </c>
      <c r="I87" s="55">
        <v>5</v>
      </c>
      <c r="J87" s="55">
        <v>5</v>
      </c>
      <c r="K87" s="55">
        <v>9</v>
      </c>
    </row>
    <row r="88" spans="1:11" x14ac:dyDescent="0.25">
      <c r="B88" s="55">
        <v>12</v>
      </c>
      <c r="C88" s="55">
        <v>43</v>
      </c>
      <c r="D88" s="55">
        <v>3</v>
      </c>
      <c r="E88" s="55">
        <v>5</v>
      </c>
      <c r="F88" s="55">
        <v>1</v>
      </c>
      <c r="G88" s="55">
        <v>2</v>
      </c>
      <c r="H88" s="55">
        <v>7</v>
      </c>
      <c r="I88" s="55">
        <v>19</v>
      </c>
      <c r="J88" s="55">
        <v>21</v>
      </c>
      <c r="K88" s="55">
        <v>26</v>
      </c>
    </row>
    <row r="89" spans="1:11" x14ac:dyDescent="0.25">
      <c r="B89" s="55" t="s">
        <v>934</v>
      </c>
      <c r="D89" s="55" t="s">
        <v>938</v>
      </c>
    </row>
    <row r="93" spans="1:11" x14ac:dyDescent="0.25">
      <c r="A93" s="55">
        <v>6</v>
      </c>
      <c r="B93" s="55" t="s">
        <v>147</v>
      </c>
      <c r="C93" s="55" t="s">
        <v>926</v>
      </c>
      <c r="D93" s="55" t="s">
        <v>76</v>
      </c>
      <c r="E93" s="55" t="s">
        <v>77</v>
      </c>
      <c r="F93" s="55" t="s">
        <v>78</v>
      </c>
      <c r="G93" s="55" t="s">
        <v>928</v>
      </c>
      <c r="H93" s="55" t="s">
        <v>929</v>
      </c>
      <c r="I93" s="55" t="s">
        <v>930</v>
      </c>
      <c r="J93" s="55" t="s">
        <v>931</v>
      </c>
      <c r="K93" s="55" t="s">
        <v>932</v>
      </c>
    </row>
    <row r="94" spans="1:11" x14ac:dyDescent="0.25">
      <c r="C94" s="55" t="s">
        <v>927</v>
      </c>
      <c r="H94" s="55" t="s">
        <v>401</v>
      </c>
      <c r="I94" s="55" t="s">
        <v>401</v>
      </c>
      <c r="J94" s="55" t="s">
        <v>401</v>
      </c>
      <c r="K94" s="55" t="s">
        <v>933</v>
      </c>
    </row>
    <row r="95" spans="1:11" x14ac:dyDescent="0.25">
      <c r="B95" s="55">
        <v>1</v>
      </c>
      <c r="C95" s="55">
        <v>45</v>
      </c>
      <c r="D95" s="55">
        <v>6</v>
      </c>
      <c r="E95" s="55">
        <v>3</v>
      </c>
      <c r="F95" s="55">
        <v>6</v>
      </c>
      <c r="G95" s="55">
        <v>5</v>
      </c>
      <c r="H95" s="55">
        <v>13</v>
      </c>
      <c r="I95" s="55">
        <v>20</v>
      </c>
      <c r="J95" s="55">
        <v>33</v>
      </c>
      <c r="K95" s="55">
        <v>44</v>
      </c>
    </row>
    <row r="96" spans="1:11" x14ac:dyDescent="0.25">
      <c r="B96" s="55">
        <v>2</v>
      </c>
      <c r="C96" s="55">
        <v>45</v>
      </c>
      <c r="D96" s="55">
        <v>3</v>
      </c>
      <c r="E96" s="55">
        <v>6</v>
      </c>
      <c r="F96" s="55">
        <v>2</v>
      </c>
      <c r="G96" s="55">
        <v>4</v>
      </c>
      <c r="H96" s="55">
        <v>7</v>
      </c>
      <c r="I96" s="55">
        <v>20</v>
      </c>
      <c r="J96" s="55">
        <v>24</v>
      </c>
      <c r="K96" s="55">
        <v>33</v>
      </c>
    </row>
    <row r="97" spans="1:11" x14ac:dyDescent="0.25">
      <c r="B97" s="55">
        <v>3</v>
      </c>
      <c r="C97" s="55">
        <v>45</v>
      </c>
      <c r="D97" s="55">
        <v>3</v>
      </c>
      <c r="E97" s="55">
        <v>2</v>
      </c>
      <c r="F97" s="55">
        <v>11</v>
      </c>
      <c r="G97" s="55">
        <v>7</v>
      </c>
      <c r="H97" s="55">
        <v>7</v>
      </c>
      <c r="I97" s="55">
        <v>11</v>
      </c>
      <c r="J97" s="55">
        <v>36</v>
      </c>
      <c r="K97" s="55">
        <v>51</v>
      </c>
    </row>
    <row r="98" spans="1:11" x14ac:dyDescent="0.25">
      <c r="B98" s="55">
        <v>4</v>
      </c>
      <c r="C98" s="55">
        <v>45</v>
      </c>
      <c r="D98" s="55">
        <v>6</v>
      </c>
      <c r="E98" s="55">
        <v>6</v>
      </c>
      <c r="F98" s="55">
        <v>2</v>
      </c>
      <c r="G98" s="55">
        <v>4</v>
      </c>
      <c r="H98" s="55">
        <v>13</v>
      </c>
      <c r="I98" s="55">
        <v>27</v>
      </c>
      <c r="J98" s="55">
        <v>31</v>
      </c>
      <c r="K98" s="55">
        <v>40</v>
      </c>
    </row>
    <row r="99" spans="1:11" x14ac:dyDescent="0.25">
      <c r="B99" s="55">
        <v>5</v>
      </c>
      <c r="C99" s="55">
        <v>45</v>
      </c>
      <c r="D99" s="55">
        <v>7</v>
      </c>
      <c r="E99" s="55">
        <v>4</v>
      </c>
      <c r="F99" s="55">
        <v>4</v>
      </c>
      <c r="G99" s="55">
        <v>5</v>
      </c>
      <c r="H99" s="55">
        <v>16</v>
      </c>
      <c r="I99" s="55">
        <v>24</v>
      </c>
      <c r="J99" s="55">
        <v>33</v>
      </c>
      <c r="K99" s="55">
        <v>44</v>
      </c>
    </row>
    <row r="100" spans="1:11" x14ac:dyDescent="0.25">
      <c r="B100" s="55">
        <v>6</v>
      </c>
      <c r="C100" s="55">
        <v>45</v>
      </c>
      <c r="D100" s="55">
        <v>3</v>
      </c>
      <c r="E100" s="55">
        <v>6</v>
      </c>
      <c r="F100" s="55">
        <v>5</v>
      </c>
      <c r="G100" s="55">
        <v>7</v>
      </c>
      <c r="H100" s="55">
        <v>7</v>
      </c>
      <c r="I100" s="55">
        <v>20</v>
      </c>
      <c r="J100" s="55">
        <v>31</v>
      </c>
      <c r="K100" s="55">
        <v>47</v>
      </c>
    </row>
    <row r="101" spans="1:11" x14ac:dyDescent="0.25">
      <c r="B101" s="55">
        <v>7</v>
      </c>
      <c r="C101" s="55">
        <v>45</v>
      </c>
      <c r="D101" s="55">
        <v>2</v>
      </c>
      <c r="E101" s="55">
        <v>3</v>
      </c>
      <c r="F101" s="55">
        <v>5</v>
      </c>
      <c r="G101" s="55">
        <v>3</v>
      </c>
      <c r="H101" s="55">
        <v>4</v>
      </c>
      <c r="I101" s="55">
        <v>11</v>
      </c>
      <c r="J101" s="55">
        <v>22</v>
      </c>
      <c r="K101" s="55">
        <v>29</v>
      </c>
    </row>
    <row r="102" spans="1:11" x14ac:dyDescent="0.25">
      <c r="B102" s="55">
        <v>8</v>
      </c>
      <c r="C102" s="55">
        <v>45</v>
      </c>
      <c r="D102" s="55">
        <v>5</v>
      </c>
      <c r="E102" s="55">
        <v>3</v>
      </c>
      <c r="F102" s="55">
        <v>3</v>
      </c>
      <c r="G102" s="55">
        <v>1</v>
      </c>
      <c r="H102" s="55">
        <v>11</v>
      </c>
      <c r="I102" s="55">
        <v>18</v>
      </c>
      <c r="J102" s="55">
        <v>24</v>
      </c>
      <c r="K102" s="55">
        <v>27</v>
      </c>
    </row>
    <row r="103" spans="1:11" x14ac:dyDescent="0.25">
      <c r="B103" s="55">
        <v>9</v>
      </c>
      <c r="C103" s="55">
        <v>45</v>
      </c>
      <c r="D103" s="55">
        <v>4</v>
      </c>
      <c r="E103" s="55">
        <v>3</v>
      </c>
      <c r="F103" s="55">
        <v>2</v>
      </c>
      <c r="G103" s="55">
        <v>2</v>
      </c>
      <c r="H103" s="55">
        <v>9</v>
      </c>
      <c r="I103" s="55">
        <v>16</v>
      </c>
      <c r="J103" s="55">
        <v>20</v>
      </c>
      <c r="K103" s="55">
        <v>24</v>
      </c>
    </row>
    <row r="104" spans="1:11" x14ac:dyDescent="0.25">
      <c r="B104" s="55">
        <v>10</v>
      </c>
      <c r="C104" s="55">
        <v>44</v>
      </c>
      <c r="D104" s="55">
        <v>3</v>
      </c>
      <c r="E104" s="55">
        <v>2</v>
      </c>
      <c r="F104" s="55">
        <v>4</v>
      </c>
      <c r="G104" s="55">
        <v>3</v>
      </c>
      <c r="H104" s="55">
        <v>7</v>
      </c>
      <c r="I104" s="55">
        <v>11</v>
      </c>
      <c r="J104" s="55">
        <v>20</v>
      </c>
      <c r="K104" s="55">
        <v>27</v>
      </c>
    </row>
    <row r="105" spans="1:11" x14ac:dyDescent="0.25">
      <c r="B105" s="55">
        <v>11</v>
      </c>
      <c r="C105" s="55">
        <v>44</v>
      </c>
      <c r="D105" s="55">
        <v>0</v>
      </c>
      <c r="E105" s="55">
        <v>2</v>
      </c>
      <c r="F105" s="55">
        <v>0</v>
      </c>
      <c r="G105" s="55">
        <v>2</v>
      </c>
      <c r="H105" s="55">
        <v>0</v>
      </c>
      <c r="I105" s="55">
        <v>5</v>
      </c>
      <c r="J105" s="55">
        <v>5</v>
      </c>
      <c r="K105" s="55">
        <v>9</v>
      </c>
    </row>
    <row r="106" spans="1:11" x14ac:dyDescent="0.25">
      <c r="B106" s="55">
        <v>12</v>
      </c>
      <c r="C106" s="55">
        <v>43</v>
      </c>
      <c r="D106" s="55">
        <v>3</v>
      </c>
      <c r="E106" s="55">
        <v>5</v>
      </c>
      <c r="F106" s="55">
        <v>1</v>
      </c>
      <c r="G106" s="55">
        <v>2</v>
      </c>
      <c r="H106" s="55">
        <v>7</v>
      </c>
      <c r="I106" s="55">
        <v>19</v>
      </c>
      <c r="J106" s="55">
        <v>21</v>
      </c>
      <c r="K106" s="55">
        <v>26</v>
      </c>
    </row>
    <row r="107" spans="1:11" x14ac:dyDescent="0.25">
      <c r="B107" s="55" t="s">
        <v>934</v>
      </c>
      <c r="D107" s="55" t="s">
        <v>938</v>
      </c>
    </row>
    <row r="111" spans="1:11" x14ac:dyDescent="0.25">
      <c r="A111" s="55">
        <v>7</v>
      </c>
      <c r="B111" s="55" t="s">
        <v>147</v>
      </c>
      <c r="C111" s="55" t="s">
        <v>926</v>
      </c>
      <c r="D111" s="55" t="s">
        <v>76</v>
      </c>
      <c r="E111" s="55" t="s">
        <v>77</v>
      </c>
      <c r="F111" s="55" t="s">
        <v>78</v>
      </c>
      <c r="G111" s="55" t="s">
        <v>928</v>
      </c>
      <c r="H111" s="55" t="s">
        <v>929</v>
      </c>
      <c r="I111" s="55" t="s">
        <v>930</v>
      </c>
      <c r="J111" s="55" t="s">
        <v>931</v>
      </c>
      <c r="K111" s="55" t="s">
        <v>932</v>
      </c>
    </row>
    <row r="112" spans="1:11" x14ac:dyDescent="0.25">
      <c r="C112" s="55" t="s">
        <v>927</v>
      </c>
      <c r="H112" s="55" t="s">
        <v>401</v>
      </c>
      <c r="I112" s="55" t="s">
        <v>401</v>
      </c>
      <c r="J112" s="55" t="s">
        <v>401</v>
      </c>
      <c r="K112" s="55" t="s">
        <v>933</v>
      </c>
    </row>
    <row r="113" spans="2:11" x14ac:dyDescent="0.25">
      <c r="B113" s="55">
        <v>1</v>
      </c>
      <c r="C113" s="55">
        <v>59</v>
      </c>
      <c r="D113" s="55">
        <v>6</v>
      </c>
      <c r="E113" s="55">
        <v>10</v>
      </c>
      <c r="F113" s="55">
        <v>3</v>
      </c>
      <c r="G113" s="55">
        <v>4</v>
      </c>
      <c r="H113" s="55">
        <v>10</v>
      </c>
      <c r="I113" s="55">
        <v>27</v>
      </c>
      <c r="J113" s="55">
        <v>32</v>
      </c>
      <c r="K113" s="55">
        <v>39</v>
      </c>
    </row>
    <row r="114" spans="2:11" x14ac:dyDescent="0.25">
      <c r="B114" s="55">
        <v>2</v>
      </c>
      <c r="C114" s="55">
        <v>59</v>
      </c>
      <c r="D114" s="55">
        <v>5</v>
      </c>
      <c r="E114" s="55">
        <v>2</v>
      </c>
      <c r="F114" s="55">
        <v>7</v>
      </c>
      <c r="G114" s="55">
        <v>6</v>
      </c>
      <c r="H114" s="55">
        <v>8</v>
      </c>
      <c r="I114" s="55">
        <v>12</v>
      </c>
      <c r="J114" s="55">
        <v>24</v>
      </c>
      <c r="K114" s="55">
        <v>34</v>
      </c>
    </row>
    <row r="115" spans="2:11" x14ac:dyDescent="0.25">
      <c r="B115" s="55">
        <v>3</v>
      </c>
      <c r="C115" s="55">
        <v>59</v>
      </c>
      <c r="D115" s="55">
        <v>7</v>
      </c>
      <c r="E115" s="55">
        <v>8</v>
      </c>
      <c r="F115" s="55">
        <v>8</v>
      </c>
      <c r="G115" s="55">
        <v>4</v>
      </c>
      <c r="H115" s="55">
        <v>12</v>
      </c>
      <c r="I115" s="55">
        <v>25</v>
      </c>
      <c r="J115" s="55">
        <v>39</v>
      </c>
      <c r="K115" s="55">
        <v>46</v>
      </c>
    </row>
    <row r="116" spans="2:11" x14ac:dyDescent="0.25">
      <c r="B116" s="55">
        <v>4</v>
      </c>
      <c r="C116" s="55">
        <v>60</v>
      </c>
      <c r="D116" s="55">
        <v>5</v>
      </c>
      <c r="E116" s="55">
        <v>7</v>
      </c>
      <c r="F116" s="55">
        <v>7</v>
      </c>
      <c r="G116" s="55">
        <v>6</v>
      </c>
      <c r="H116" s="55">
        <v>8</v>
      </c>
      <c r="I116" s="55">
        <v>20</v>
      </c>
      <c r="J116" s="55">
        <v>32</v>
      </c>
      <c r="K116" s="55">
        <v>42</v>
      </c>
    </row>
    <row r="117" spans="2:11" x14ac:dyDescent="0.25">
      <c r="B117" s="55">
        <v>5</v>
      </c>
      <c r="C117" s="55">
        <v>60</v>
      </c>
      <c r="D117" s="55">
        <v>5</v>
      </c>
      <c r="E117" s="55">
        <v>6</v>
      </c>
      <c r="F117" s="55">
        <v>7</v>
      </c>
      <c r="G117" s="55">
        <v>4</v>
      </c>
      <c r="H117" s="55">
        <v>8</v>
      </c>
      <c r="I117" s="55">
        <v>18</v>
      </c>
      <c r="J117" s="55">
        <v>30</v>
      </c>
      <c r="K117" s="55">
        <v>37</v>
      </c>
    </row>
    <row r="118" spans="2:11" x14ac:dyDescent="0.25">
      <c r="B118" s="55">
        <v>6</v>
      </c>
      <c r="C118" s="55">
        <v>60</v>
      </c>
      <c r="D118" s="55">
        <v>9</v>
      </c>
      <c r="E118" s="55">
        <v>2</v>
      </c>
      <c r="F118" s="55">
        <v>5</v>
      </c>
      <c r="G118" s="55">
        <v>4</v>
      </c>
      <c r="H118" s="55">
        <v>15</v>
      </c>
      <c r="I118" s="55">
        <v>18</v>
      </c>
      <c r="J118" s="55">
        <v>27</v>
      </c>
      <c r="K118" s="55">
        <v>33</v>
      </c>
    </row>
    <row r="119" spans="2:11" x14ac:dyDescent="0.25">
      <c r="B119" s="55">
        <v>7</v>
      </c>
      <c r="C119" s="55">
        <v>59</v>
      </c>
      <c r="D119" s="55">
        <v>3</v>
      </c>
      <c r="E119" s="55">
        <v>7</v>
      </c>
      <c r="F119" s="55">
        <v>2</v>
      </c>
      <c r="G119" s="55">
        <v>5</v>
      </c>
      <c r="H119" s="55">
        <v>5</v>
      </c>
      <c r="I119" s="55">
        <v>17</v>
      </c>
      <c r="J119" s="55">
        <v>20</v>
      </c>
      <c r="K119" s="55">
        <v>29</v>
      </c>
    </row>
    <row r="120" spans="2:11" x14ac:dyDescent="0.25">
      <c r="B120" s="55">
        <v>8</v>
      </c>
      <c r="C120" s="55">
        <v>60</v>
      </c>
      <c r="D120" s="55">
        <v>4</v>
      </c>
      <c r="E120" s="55">
        <v>4</v>
      </c>
      <c r="F120" s="55">
        <v>5</v>
      </c>
      <c r="G120" s="55">
        <v>6</v>
      </c>
      <c r="H120" s="55">
        <v>7</v>
      </c>
      <c r="I120" s="55">
        <v>13</v>
      </c>
      <c r="J120" s="55">
        <v>22</v>
      </c>
      <c r="K120" s="55">
        <v>32</v>
      </c>
    </row>
    <row r="121" spans="2:11" x14ac:dyDescent="0.25">
      <c r="B121" s="55">
        <v>9</v>
      </c>
      <c r="C121" s="55">
        <v>60</v>
      </c>
      <c r="D121" s="55">
        <v>4</v>
      </c>
      <c r="E121" s="55">
        <v>2</v>
      </c>
      <c r="F121" s="55">
        <v>4</v>
      </c>
      <c r="G121" s="55">
        <v>8</v>
      </c>
      <c r="H121" s="55">
        <v>7</v>
      </c>
      <c r="I121" s="55">
        <v>10</v>
      </c>
      <c r="J121" s="55">
        <v>17</v>
      </c>
      <c r="K121" s="55">
        <v>30</v>
      </c>
    </row>
    <row r="122" spans="2:11" x14ac:dyDescent="0.25">
      <c r="B122" s="55">
        <v>10</v>
      </c>
      <c r="C122" s="55">
        <v>59</v>
      </c>
      <c r="D122" s="55">
        <v>5</v>
      </c>
      <c r="E122" s="55">
        <v>4</v>
      </c>
      <c r="F122" s="55">
        <v>5</v>
      </c>
      <c r="G122" s="55">
        <v>5</v>
      </c>
      <c r="H122" s="55">
        <v>8</v>
      </c>
      <c r="I122" s="55">
        <v>15</v>
      </c>
      <c r="J122" s="55">
        <v>24</v>
      </c>
      <c r="K122" s="55">
        <v>32</v>
      </c>
    </row>
    <row r="123" spans="2:11" x14ac:dyDescent="0.25">
      <c r="B123" s="55">
        <v>11</v>
      </c>
      <c r="C123" s="55">
        <v>60</v>
      </c>
      <c r="D123" s="55">
        <v>3</v>
      </c>
      <c r="E123" s="55">
        <v>5</v>
      </c>
      <c r="F123" s="55">
        <v>5</v>
      </c>
      <c r="G123" s="55">
        <v>5</v>
      </c>
      <c r="H123" s="55">
        <v>5</v>
      </c>
      <c r="I123" s="55">
        <v>13</v>
      </c>
      <c r="J123" s="55">
        <v>22</v>
      </c>
      <c r="K123" s="55">
        <v>30</v>
      </c>
    </row>
    <row r="124" spans="2:11" x14ac:dyDescent="0.25">
      <c r="B124" s="55">
        <v>12</v>
      </c>
      <c r="C124" s="55">
        <v>54</v>
      </c>
      <c r="D124" s="55">
        <v>4</v>
      </c>
      <c r="E124" s="55">
        <v>3</v>
      </c>
      <c r="F124" s="55">
        <v>2</v>
      </c>
      <c r="G124" s="55">
        <v>3</v>
      </c>
      <c r="H124" s="55">
        <v>7</v>
      </c>
      <c r="I124" s="55">
        <v>13</v>
      </c>
      <c r="J124" s="55">
        <v>17</v>
      </c>
      <c r="K124" s="55">
        <v>22</v>
      </c>
    </row>
    <row r="125" spans="2:11" x14ac:dyDescent="0.25">
      <c r="B125" s="55" t="s">
        <v>934</v>
      </c>
      <c r="D125" s="55" t="s">
        <v>937</v>
      </c>
    </row>
    <row r="129" spans="1:11" x14ac:dyDescent="0.25">
      <c r="A129" s="55">
        <v>8</v>
      </c>
      <c r="B129" s="55" t="s">
        <v>147</v>
      </c>
      <c r="C129" s="55" t="s">
        <v>926</v>
      </c>
      <c r="D129" s="55" t="s">
        <v>76</v>
      </c>
      <c r="E129" s="55" t="s">
        <v>77</v>
      </c>
      <c r="F129" s="55" t="s">
        <v>78</v>
      </c>
      <c r="G129" s="55" t="s">
        <v>928</v>
      </c>
      <c r="H129" s="55" t="s">
        <v>929</v>
      </c>
      <c r="I129" s="55" t="s">
        <v>930</v>
      </c>
      <c r="J129" s="55" t="s">
        <v>931</v>
      </c>
      <c r="K129" s="55" t="s">
        <v>932</v>
      </c>
    </row>
    <row r="130" spans="1:11" x14ac:dyDescent="0.25">
      <c r="C130" s="55" t="s">
        <v>927</v>
      </c>
      <c r="H130" s="55" t="s">
        <v>401</v>
      </c>
      <c r="I130" s="55" t="s">
        <v>401</v>
      </c>
      <c r="J130" s="55" t="s">
        <v>401</v>
      </c>
      <c r="K130" s="55" t="s">
        <v>933</v>
      </c>
    </row>
    <row r="131" spans="1:11" x14ac:dyDescent="0.25">
      <c r="B131" s="55">
        <v>1</v>
      </c>
      <c r="C131" s="55">
        <v>59</v>
      </c>
      <c r="D131" s="55">
        <v>6</v>
      </c>
      <c r="E131" s="55">
        <v>10</v>
      </c>
      <c r="F131" s="55">
        <v>3</v>
      </c>
      <c r="G131" s="55">
        <v>4</v>
      </c>
      <c r="H131" s="55">
        <v>10</v>
      </c>
      <c r="I131" s="55">
        <v>27</v>
      </c>
      <c r="J131" s="55">
        <v>32</v>
      </c>
      <c r="K131" s="55">
        <v>39</v>
      </c>
    </row>
    <row r="132" spans="1:11" x14ac:dyDescent="0.25">
      <c r="B132" s="55">
        <v>2</v>
      </c>
      <c r="C132" s="55">
        <v>59</v>
      </c>
      <c r="D132" s="55">
        <v>5</v>
      </c>
      <c r="E132" s="55">
        <v>2</v>
      </c>
      <c r="F132" s="55">
        <v>7</v>
      </c>
      <c r="G132" s="55">
        <v>6</v>
      </c>
      <c r="H132" s="55">
        <v>8</v>
      </c>
      <c r="I132" s="55">
        <v>12</v>
      </c>
      <c r="J132" s="55">
        <v>24</v>
      </c>
      <c r="K132" s="55">
        <v>34</v>
      </c>
    </row>
    <row r="133" spans="1:11" x14ac:dyDescent="0.25">
      <c r="B133" s="55">
        <v>3</v>
      </c>
      <c r="C133" s="55">
        <v>59</v>
      </c>
      <c r="D133" s="55">
        <v>7</v>
      </c>
      <c r="E133" s="55">
        <v>8</v>
      </c>
      <c r="F133" s="55">
        <v>8</v>
      </c>
      <c r="G133" s="55">
        <v>4</v>
      </c>
      <c r="H133" s="55">
        <v>12</v>
      </c>
      <c r="I133" s="55">
        <v>25</v>
      </c>
      <c r="J133" s="55">
        <v>39</v>
      </c>
      <c r="K133" s="55">
        <v>46</v>
      </c>
    </row>
    <row r="134" spans="1:11" x14ac:dyDescent="0.25">
      <c r="B134" s="55">
        <v>4</v>
      </c>
      <c r="C134" s="55">
        <v>60</v>
      </c>
      <c r="D134" s="55">
        <v>5</v>
      </c>
      <c r="E134" s="55">
        <v>7</v>
      </c>
      <c r="F134" s="55">
        <v>7</v>
      </c>
      <c r="G134" s="55">
        <v>6</v>
      </c>
      <c r="H134" s="55">
        <v>8</v>
      </c>
      <c r="I134" s="55">
        <v>20</v>
      </c>
      <c r="J134" s="55">
        <v>32</v>
      </c>
      <c r="K134" s="55">
        <v>42</v>
      </c>
    </row>
    <row r="135" spans="1:11" x14ac:dyDescent="0.25">
      <c r="B135" s="55">
        <v>5</v>
      </c>
      <c r="C135" s="55">
        <v>60</v>
      </c>
      <c r="D135" s="55">
        <v>5</v>
      </c>
      <c r="E135" s="55">
        <v>6</v>
      </c>
      <c r="F135" s="55">
        <v>7</v>
      </c>
      <c r="G135" s="55">
        <v>4</v>
      </c>
      <c r="H135" s="55">
        <v>8</v>
      </c>
      <c r="I135" s="55">
        <v>18</v>
      </c>
      <c r="J135" s="55">
        <v>30</v>
      </c>
      <c r="K135" s="55">
        <v>37</v>
      </c>
    </row>
    <row r="136" spans="1:11" x14ac:dyDescent="0.25">
      <c r="B136" s="55">
        <v>6</v>
      </c>
      <c r="C136" s="55">
        <v>60</v>
      </c>
      <c r="D136" s="55">
        <v>9</v>
      </c>
      <c r="E136" s="55">
        <v>2</v>
      </c>
      <c r="F136" s="55">
        <v>5</v>
      </c>
      <c r="G136" s="55">
        <v>4</v>
      </c>
      <c r="H136" s="55">
        <v>15</v>
      </c>
      <c r="I136" s="55">
        <v>18</v>
      </c>
      <c r="J136" s="55">
        <v>27</v>
      </c>
      <c r="K136" s="55">
        <v>33</v>
      </c>
    </row>
    <row r="137" spans="1:11" x14ac:dyDescent="0.25">
      <c r="B137" s="55">
        <v>7</v>
      </c>
      <c r="C137" s="55">
        <v>59</v>
      </c>
      <c r="D137" s="55">
        <v>3</v>
      </c>
      <c r="E137" s="55">
        <v>7</v>
      </c>
      <c r="F137" s="55">
        <v>2</v>
      </c>
      <c r="G137" s="55">
        <v>5</v>
      </c>
      <c r="H137" s="55">
        <v>5</v>
      </c>
      <c r="I137" s="55">
        <v>17</v>
      </c>
      <c r="J137" s="55">
        <v>20</v>
      </c>
      <c r="K137" s="55">
        <v>29</v>
      </c>
    </row>
    <row r="138" spans="1:11" x14ac:dyDescent="0.25">
      <c r="B138" s="55">
        <v>8</v>
      </c>
      <c r="C138" s="55">
        <v>60</v>
      </c>
      <c r="D138" s="55">
        <v>4</v>
      </c>
      <c r="E138" s="55">
        <v>4</v>
      </c>
      <c r="F138" s="55">
        <v>5</v>
      </c>
      <c r="G138" s="55">
        <v>6</v>
      </c>
      <c r="H138" s="55">
        <v>7</v>
      </c>
      <c r="I138" s="55">
        <v>13</v>
      </c>
      <c r="J138" s="55">
        <v>22</v>
      </c>
      <c r="K138" s="55">
        <v>32</v>
      </c>
    </row>
    <row r="139" spans="1:11" x14ac:dyDescent="0.25">
      <c r="B139" s="55">
        <v>9</v>
      </c>
      <c r="C139" s="55">
        <v>60</v>
      </c>
      <c r="D139" s="55">
        <v>4</v>
      </c>
      <c r="E139" s="55">
        <v>2</v>
      </c>
      <c r="F139" s="55">
        <v>4</v>
      </c>
      <c r="G139" s="55">
        <v>8</v>
      </c>
      <c r="H139" s="55">
        <v>7</v>
      </c>
      <c r="I139" s="55">
        <v>10</v>
      </c>
      <c r="J139" s="55">
        <v>17</v>
      </c>
      <c r="K139" s="55">
        <v>30</v>
      </c>
    </row>
    <row r="140" spans="1:11" x14ac:dyDescent="0.25">
      <c r="B140" s="55">
        <v>10</v>
      </c>
      <c r="C140" s="55">
        <v>59</v>
      </c>
      <c r="D140" s="55">
        <v>5</v>
      </c>
      <c r="E140" s="55">
        <v>4</v>
      </c>
      <c r="F140" s="55">
        <v>5</v>
      </c>
      <c r="G140" s="55">
        <v>5</v>
      </c>
      <c r="H140" s="55">
        <v>8</v>
      </c>
      <c r="I140" s="55">
        <v>15</v>
      </c>
      <c r="J140" s="55">
        <v>24</v>
      </c>
      <c r="K140" s="55">
        <v>32</v>
      </c>
    </row>
    <row r="141" spans="1:11" x14ac:dyDescent="0.25">
      <c r="B141" s="55">
        <v>11</v>
      </c>
      <c r="C141" s="55">
        <v>60</v>
      </c>
      <c r="D141" s="55">
        <v>3</v>
      </c>
      <c r="E141" s="55">
        <v>5</v>
      </c>
      <c r="F141" s="55">
        <v>5</v>
      </c>
      <c r="G141" s="55">
        <v>5</v>
      </c>
      <c r="H141" s="55">
        <v>5</v>
      </c>
      <c r="I141" s="55">
        <v>13</v>
      </c>
      <c r="J141" s="55">
        <v>22</v>
      </c>
      <c r="K141" s="55">
        <v>30</v>
      </c>
    </row>
    <row r="142" spans="1:11" x14ac:dyDescent="0.25">
      <c r="B142" s="55">
        <v>12</v>
      </c>
      <c r="C142" s="55">
        <v>54</v>
      </c>
      <c r="D142" s="55">
        <v>4</v>
      </c>
      <c r="E142" s="55">
        <v>3</v>
      </c>
      <c r="F142" s="55">
        <v>2</v>
      </c>
      <c r="G142" s="55">
        <v>3</v>
      </c>
      <c r="H142" s="55">
        <v>7</v>
      </c>
      <c r="I142" s="55">
        <v>13</v>
      </c>
      <c r="J142" s="55">
        <v>17</v>
      </c>
      <c r="K142" s="55">
        <v>22</v>
      </c>
    </row>
    <row r="143" spans="1:11" x14ac:dyDescent="0.25">
      <c r="B143" s="55" t="s">
        <v>934</v>
      </c>
      <c r="D143" s="55" t="s">
        <v>937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8"/>
  <sheetViews>
    <sheetView zoomScale="80" zoomScaleNormal="80" workbookViewId="0">
      <selection activeCell="G35" sqref="G35"/>
    </sheetView>
  </sheetViews>
  <sheetFormatPr defaultRowHeight="15" x14ac:dyDescent="0.25"/>
  <cols>
    <col min="1" max="16384" width="9.140625" style="44"/>
  </cols>
  <sheetData>
    <row r="1" spans="1:4" x14ac:dyDescent="0.25">
      <c r="A1" s="44" t="s">
        <v>109</v>
      </c>
    </row>
    <row r="3" spans="1:4" x14ac:dyDescent="0.25">
      <c r="B3" s="44" t="s">
        <v>110</v>
      </c>
      <c r="C3" s="44" t="s">
        <v>111</v>
      </c>
      <c r="D3" s="44" t="s">
        <v>205</v>
      </c>
    </row>
    <row r="4" spans="1:4" ht="15.75" x14ac:dyDescent="0.25">
      <c r="B4" s="45" t="s">
        <v>112</v>
      </c>
      <c r="C4" s="44">
        <v>1.1000000000000001</v>
      </c>
      <c r="D4" s="44">
        <v>3</v>
      </c>
    </row>
    <row r="5" spans="1:4" ht="15.75" x14ac:dyDescent="0.25">
      <c r="B5" s="45" t="s">
        <v>113</v>
      </c>
      <c r="C5" s="44">
        <v>1.1000000000000001</v>
      </c>
      <c r="D5" s="44">
        <v>1.7</v>
      </c>
    </row>
    <row r="6" spans="1:4" ht="15.75" x14ac:dyDescent="0.25">
      <c r="B6" s="45" t="s">
        <v>114</v>
      </c>
      <c r="C6" s="44">
        <v>1.1000000000000001</v>
      </c>
      <c r="D6" s="44">
        <v>1.5</v>
      </c>
    </row>
    <row r="7" spans="1:4" ht="15.75" x14ac:dyDescent="0.25">
      <c r="B7" s="45" t="s">
        <v>115</v>
      </c>
      <c r="C7" s="44">
        <v>0.9</v>
      </c>
      <c r="D7" s="44">
        <v>1</v>
      </c>
    </row>
    <row r="8" spans="1:4" ht="15.75" x14ac:dyDescent="0.25">
      <c r="B8" s="45" t="s">
        <v>116</v>
      </c>
      <c r="C8" s="44">
        <v>1.05</v>
      </c>
      <c r="D8" s="44">
        <v>1.2</v>
      </c>
    </row>
    <row r="9" spans="1:4" ht="15.75" x14ac:dyDescent="0.25">
      <c r="B9" s="45" t="s">
        <v>117</v>
      </c>
      <c r="C9" s="44">
        <v>1.1000000000000001</v>
      </c>
      <c r="D9" s="44">
        <v>1</v>
      </c>
    </row>
    <row r="10" spans="1:4" ht="15.75" x14ac:dyDescent="0.25">
      <c r="B10" s="45" t="s">
        <v>118</v>
      </c>
      <c r="C10" s="44">
        <v>1.2</v>
      </c>
      <c r="D10" s="44">
        <v>1</v>
      </c>
    </row>
    <row r="11" spans="1:4" ht="15.75" x14ac:dyDescent="0.25">
      <c r="B11" s="45" t="s">
        <v>196</v>
      </c>
      <c r="C11" s="44">
        <v>0.8</v>
      </c>
      <c r="D11" s="44">
        <v>1</v>
      </c>
    </row>
    <row r="12" spans="1:4" ht="15.75" x14ac:dyDescent="0.25">
      <c r="B12" s="45" t="s">
        <v>119</v>
      </c>
      <c r="C12" s="44">
        <v>1.05</v>
      </c>
      <c r="D12" s="44">
        <v>1</v>
      </c>
    </row>
    <row r="13" spans="1:4" ht="15.75" x14ac:dyDescent="0.25">
      <c r="B13" s="45" t="s">
        <v>194</v>
      </c>
      <c r="C13" s="44">
        <v>1.1000000000000001</v>
      </c>
      <c r="D13" s="44">
        <v>1</v>
      </c>
    </row>
    <row r="14" spans="1:4" ht="15.75" x14ac:dyDescent="0.25">
      <c r="B14" s="45" t="s">
        <v>120</v>
      </c>
      <c r="C14" s="44">
        <v>1</v>
      </c>
      <c r="D14" s="44">
        <v>1.8</v>
      </c>
    </row>
    <row r="15" spans="1:4" ht="15.75" x14ac:dyDescent="0.25">
      <c r="B15" s="45" t="s">
        <v>212</v>
      </c>
      <c r="C15" s="44">
        <v>1</v>
      </c>
      <c r="D15" s="44">
        <v>1</v>
      </c>
    </row>
    <row r="16" spans="1:4" ht="15.75" x14ac:dyDescent="0.25">
      <c r="B16" s="45" t="s">
        <v>216</v>
      </c>
      <c r="C16" s="44">
        <v>1.05</v>
      </c>
      <c r="D16" s="44">
        <v>1</v>
      </c>
    </row>
    <row r="17" spans="2:4" ht="15.75" x14ac:dyDescent="0.25">
      <c r="B17" s="45" t="s">
        <v>121</v>
      </c>
      <c r="C17" s="44">
        <v>1</v>
      </c>
      <c r="D17" s="44">
        <v>2</v>
      </c>
    </row>
    <row r="18" spans="2:4" ht="15.75" x14ac:dyDescent="0.25">
      <c r="B18" s="45" t="s">
        <v>195</v>
      </c>
      <c r="C18" s="44">
        <v>0.8</v>
      </c>
      <c r="D18" s="44">
        <v>1</v>
      </c>
    </row>
    <row r="19" spans="2:4" ht="15.75" x14ac:dyDescent="0.25">
      <c r="B19" s="45" t="s">
        <v>122</v>
      </c>
      <c r="C19" s="44">
        <v>1.05</v>
      </c>
      <c r="D19" s="44">
        <v>1</v>
      </c>
    </row>
    <row r="20" spans="2:4" ht="15.75" x14ac:dyDescent="0.25">
      <c r="B20" s="45" t="s">
        <v>259</v>
      </c>
      <c r="C20" s="44">
        <v>1.05</v>
      </c>
      <c r="D20" s="44">
        <v>2</v>
      </c>
    </row>
    <row r="21" spans="2:4" ht="15.75" x14ac:dyDescent="0.25">
      <c r="B21" s="45" t="s">
        <v>123</v>
      </c>
      <c r="C21" s="44">
        <v>1</v>
      </c>
      <c r="D21" s="44">
        <v>2</v>
      </c>
    </row>
    <row r="22" spans="2:4" ht="15.75" x14ac:dyDescent="0.25">
      <c r="B22" s="45" t="s">
        <v>124</v>
      </c>
      <c r="C22" s="44">
        <v>1</v>
      </c>
      <c r="D22" s="44">
        <v>1</v>
      </c>
    </row>
    <row r="23" spans="2:4" ht="15.75" x14ac:dyDescent="0.25">
      <c r="B23" s="45" t="s">
        <v>125</v>
      </c>
      <c r="C23" s="44">
        <v>0.9</v>
      </c>
      <c r="D23" s="44">
        <v>1.5</v>
      </c>
    </row>
    <row r="24" spans="2:4" ht="15.75" x14ac:dyDescent="0.25">
      <c r="B24" s="45" t="s">
        <v>126</v>
      </c>
      <c r="C24" s="44">
        <v>1</v>
      </c>
      <c r="D24" s="44">
        <v>1.8</v>
      </c>
    </row>
    <row r="25" spans="2:4" ht="15.75" x14ac:dyDescent="0.25">
      <c r="B25" s="45" t="s">
        <v>127</v>
      </c>
      <c r="C25" s="44">
        <v>1</v>
      </c>
      <c r="D25" s="44">
        <v>1</v>
      </c>
    </row>
    <row r="26" spans="2:4" x14ac:dyDescent="0.25">
      <c r="B26" s="44" t="s">
        <v>175</v>
      </c>
      <c r="C26" s="44">
        <v>1</v>
      </c>
      <c r="D26" s="44">
        <v>1.5</v>
      </c>
    </row>
    <row r="27" spans="2:4" x14ac:dyDescent="0.25">
      <c r="B27" s="44" t="s">
        <v>173</v>
      </c>
      <c r="C27" s="44">
        <v>0.8</v>
      </c>
      <c r="D27" s="44">
        <v>1</v>
      </c>
    </row>
    <row r="28" spans="2:4" ht="15.75" x14ac:dyDescent="0.25">
      <c r="B28" s="45" t="s">
        <v>128</v>
      </c>
      <c r="C28" s="44">
        <v>0.9</v>
      </c>
      <c r="D28" s="44">
        <v>1</v>
      </c>
    </row>
    <row r="29" spans="2:4" ht="15.75" x14ac:dyDescent="0.25">
      <c r="B29" s="45" t="s">
        <v>129</v>
      </c>
      <c r="C29" s="44">
        <v>0.9</v>
      </c>
      <c r="D29" s="44">
        <v>1.3</v>
      </c>
    </row>
    <row r="30" spans="2:4" ht="15.75" x14ac:dyDescent="0.25">
      <c r="B30" s="45" t="s">
        <v>130</v>
      </c>
      <c r="C30" s="44">
        <v>0.85</v>
      </c>
      <c r="D30" s="44">
        <v>1.1000000000000001</v>
      </c>
    </row>
    <row r="31" spans="2:4" ht="15.75" x14ac:dyDescent="0.25">
      <c r="B31" s="45" t="s">
        <v>131</v>
      </c>
      <c r="C31" s="44">
        <v>0.85</v>
      </c>
      <c r="D31" s="44">
        <v>1</v>
      </c>
    </row>
    <row r="32" spans="2:4" ht="15.75" x14ac:dyDescent="0.25">
      <c r="B32" s="45" t="s">
        <v>132</v>
      </c>
      <c r="C32" s="44">
        <v>0.75</v>
      </c>
      <c r="D32" s="44">
        <v>1</v>
      </c>
    </row>
    <row r="33" spans="2:4" ht="15.75" x14ac:dyDescent="0.25">
      <c r="B33" s="45" t="s">
        <v>133</v>
      </c>
      <c r="C33" s="44">
        <v>0.85</v>
      </c>
      <c r="D33" s="44">
        <v>1</v>
      </c>
    </row>
    <row r="34" spans="2:4" ht="15.75" x14ac:dyDescent="0.25">
      <c r="B34" s="45" t="s">
        <v>134</v>
      </c>
      <c r="C34" s="44">
        <v>0.9</v>
      </c>
      <c r="D34" s="44">
        <v>1</v>
      </c>
    </row>
    <row r="35" spans="2:4" ht="15.75" x14ac:dyDescent="0.25">
      <c r="B35" s="45" t="s">
        <v>135</v>
      </c>
      <c r="C35" s="44">
        <v>0.95</v>
      </c>
      <c r="D35" s="44">
        <v>1</v>
      </c>
    </row>
    <row r="36" spans="2:4" ht="15.75" x14ac:dyDescent="0.25">
      <c r="B36" s="45" t="s">
        <v>136</v>
      </c>
      <c r="C36" s="44">
        <v>0.85</v>
      </c>
      <c r="D36" s="44">
        <v>1</v>
      </c>
    </row>
    <row r="37" spans="2:4" ht="15.75" x14ac:dyDescent="0.25">
      <c r="B37" s="45" t="s">
        <v>137</v>
      </c>
      <c r="C37" s="44">
        <v>0.85</v>
      </c>
      <c r="D37" s="44">
        <v>1</v>
      </c>
    </row>
    <row r="38" spans="2:4" ht="15.75" x14ac:dyDescent="0.25">
      <c r="B38" s="45" t="s">
        <v>138</v>
      </c>
      <c r="C38" s="44">
        <v>0.8</v>
      </c>
      <c r="D38" s="44">
        <v>1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55"/>
  <sheetViews>
    <sheetView topLeftCell="A41" zoomScale="80" zoomScaleNormal="80" workbookViewId="0">
      <selection activeCell="F53" sqref="F53:F55"/>
    </sheetView>
  </sheetViews>
  <sheetFormatPr defaultRowHeight="15.75" x14ac:dyDescent="0.25"/>
  <cols>
    <col min="1" max="1" width="4.140625" customWidth="1"/>
    <col min="2" max="2" width="6" customWidth="1"/>
    <col min="3" max="3" width="10.28515625" bestFit="1" customWidth="1"/>
    <col min="4" max="4" width="9" customWidth="1"/>
    <col min="5" max="5" width="10" bestFit="1" customWidth="1"/>
    <col min="6" max="13" width="9" customWidth="1"/>
    <col min="14" max="14" width="8.140625" customWidth="1"/>
    <col min="16" max="16" width="17.5703125" bestFit="1" customWidth="1"/>
    <col min="17" max="17" width="11.28515625" bestFit="1" customWidth="1"/>
  </cols>
  <sheetData>
    <row r="1" spans="1:17" x14ac:dyDescent="0.25">
      <c r="A1" s="66" t="s">
        <v>942</v>
      </c>
    </row>
    <row r="3" spans="1:17" x14ac:dyDescent="0.25">
      <c r="B3" t="s">
        <v>943</v>
      </c>
      <c r="C3" t="s">
        <v>145</v>
      </c>
      <c r="D3" t="s">
        <v>944</v>
      </c>
      <c r="P3" t="s">
        <v>945</v>
      </c>
    </row>
    <row r="4" spans="1:17" x14ac:dyDescent="0.25">
      <c r="D4" t="s">
        <v>946</v>
      </c>
      <c r="N4" t="s">
        <v>947</v>
      </c>
      <c r="P4" t="s">
        <v>950</v>
      </c>
    </row>
    <row r="5" spans="1:17" x14ac:dyDescent="0.25">
      <c r="N5" t="s">
        <v>948</v>
      </c>
    </row>
    <row r="6" spans="1:17" x14ac:dyDescent="0.25">
      <c r="D6" s="60" t="s">
        <v>956</v>
      </c>
      <c r="E6" s="60" t="s">
        <v>957</v>
      </c>
      <c r="F6" s="60" t="s">
        <v>958</v>
      </c>
      <c r="G6" s="60" t="s">
        <v>959</v>
      </c>
      <c r="H6" s="60" t="s">
        <v>960</v>
      </c>
      <c r="I6" s="60" t="s">
        <v>961</v>
      </c>
      <c r="J6" s="60" t="s">
        <v>962</v>
      </c>
      <c r="K6" s="60" t="s">
        <v>963</v>
      </c>
      <c r="L6" s="60" t="s">
        <v>964</v>
      </c>
      <c r="M6" s="60" t="s">
        <v>965</v>
      </c>
      <c r="N6" t="s">
        <v>949</v>
      </c>
      <c r="P6" t="s">
        <v>951</v>
      </c>
      <c r="Q6" t="s">
        <v>952</v>
      </c>
    </row>
    <row r="7" spans="1:17" x14ac:dyDescent="0.25">
      <c r="B7">
        <v>1</v>
      </c>
      <c r="C7" t="s">
        <v>112</v>
      </c>
      <c r="D7">
        <v>62</v>
      </c>
      <c r="E7">
        <v>60</v>
      </c>
      <c r="F7">
        <v>24</v>
      </c>
      <c r="G7">
        <v>24</v>
      </c>
      <c r="H7">
        <v>46</v>
      </c>
      <c r="I7">
        <v>28</v>
      </c>
      <c r="J7">
        <v>42</v>
      </c>
      <c r="K7" t="s">
        <v>163</v>
      </c>
      <c r="L7" t="s">
        <v>163</v>
      </c>
      <c r="M7">
        <v>48</v>
      </c>
      <c r="N7">
        <v>41.8</v>
      </c>
      <c r="P7">
        <v>38</v>
      </c>
      <c r="Q7">
        <v>41.4</v>
      </c>
    </row>
    <row r="8" spans="1:17" x14ac:dyDescent="0.25">
      <c r="B8">
        <v>2</v>
      </c>
      <c r="C8" t="s">
        <v>175</v>
      </c>
      <c r="D8">
        <v>34</v>
      </c>
      <c r="E8">
        <v>12</v>
      </c>
      <c r="F8">
        <v>4</v>
      </c>
      <c r="G8">
        <v>14</v>
      </c>
      <c r="H8">
        <v>10</v>
      </c>
      <c r="I8">
        <v>24</v>
      </c>
      <c r="J8">
        <v>18</v>
      </c>
      <c r="K8">
        <v>12</v>
      </c>
      <c r="L8">
        <v>20</v>
      </c>
      <c r="M8" t="s">
        <v>163</v>
      </c>
      <c r="N8">
        <v>16.399999999999999</v>
      </c>
      <c r="P8">
        <v>16.399999999999999</v>
      </c>
      <c r="Q8">
        <v>11.9</v>
      </c>
    </row>
    <row r="9" spans="1:17" x14ac:dyDescent="0.25">
      <c r="B9">
        <v>3</v>
      </c>
      <c r="C9" t="s">
        <v>126</v>
      </c>
      <c r="D9">
        <v>12</v>
      </c>
      <c r="E9">
        <v>0</v>
      </c>
      <c r="F9">
        <v>12</v>
      </c>
      <c r="G9" t="s">
        <v>163</v>
      </c>
      <c r="H9" t="s">
        <v>163</v>
      </c>
      <c r="I9">
        <v>0</v>
      </c>
      <c r="J9">
        <v>32</v>
      </c>
      <c r="K9">
        <v>56</v>
      </c>
      <c r="L9">
        <v>16</v>
      </c>
      <c r="M9">
        <v>8</v>
      </c>
      <c r="N9">
        <v>17</v>
      </c>
      <c r="P9">
        <v>17.600000000000001</v>
      </c>
      <c r="Q9">
        <v>10.3</v>
      </c>
    </row>
    <row r="10" spans="1:17" x14ac:dyDescent="0.25">
      <c r="B10">
        <v>4</v>
      </c>
      <c r="C10" t="s">
        <v>114</v>
      </c>
      <c r="D10">
        <v>24</v>
      </c>
      <c r="E10">
        <v>18</v>
      </c>
      <c r="F10">
        <v>0</v>
      </c>
      <c r="G10">
        <v>30</v>
      </c>
      <c r="H10">
        <v>12</v>
      </c>
      <c r="I10">
        <v>16</v>
      </c>
      <c r="J10">
        <v>12</v>
      </c>
      <c r="K10">
        <v>6</v>
      </c>
      <c r="L10">
        <v>16</v>
      </c>
      <c r="M10">
        <v>24</v>
      </c>
      <c r="N10">
        <v>15.8</v>
      </c>
      <c r="P10">
        <v>15.7</v>
      </c>
      <c r="Q10">
        <v>11.6</v>
      </c>
    </row>
    <row r="11" spans="1:17" x14ac:dyDescent="0.25">
      <c r="B11">
        <v>5</v>
      </c>
      <c r="C11" t="s">
        <v>259</v>
      </c>
      <c r="D11">
        <v>24</v>
      </c>
      <c r="E11">
        <v>6</v>
      </c>
      <c r="F11">
        <v>4</v>
      </c>
      <c r="G11">
        <v>0</v>
      </c>
      <c r="H11">
        <v>42</v>
      </c>
      <c r="I11">
        <v>0</v>
      </c>
      <c r="J11">
        <v>0</v>
      </c>
      <c r="K11">
        <v>6</v>
      </c>
      <c r="L11">
        <v>4</v>
      </c>
      <c r="M11">
        <v>24</v>
      </c>
      <c r="N11">
        <v>11</v>
      </c>
      <c r="P11">
        <v>9.1999999999999993</v>
      </c>
      <c r="Q11" t="s">
        <v>163</v>
      </c>
    </row>
    <row r="12" spans="1:17" x14ac:dyDescent="0.25">
      <c r="B12">
        <v>6</v>
      </c>
      <c r="C12" t="s">
        <v>113</v>
      </c>
      <c r="D12">
        <v>20</v>
      </c>
      <c r="E12">
        <v>20</v>
      </c>
      <c r="F12">
        <v>16</v>
      </c>
      <c r="G12">
        <v>0</v>
      </c>
      <c r="H12">
        <v>12</v>
      </c>
      <c r="I12">
        <v>12</v>
      </c>
      <c r="J12">
        <v>14</v>
      </c>
      <c r="K12">
        <v>22</v>
      </c>
      <c r="L12">
        <v>66</v>
      </c>
      <c r="M12">
        <v>16</v>
      </c>
      <c r="N12">
        <v>19.8</v>
      </c>
      <c r="P12">
        <v>20.8</v>
      </c>
      <c r="Q12">
        <v>23.5</v>
      </c>
    </row>
    <row r="13" spans="1:17" x14ac:dyDescent="0.25">
      <c r="B13">
        <v>7</v>
      </c>
      <c r="C13" t="s">
        <v>135</v>
      </c>
      <c r="D13">
        <v>0</v>
      </c>
      <c r="E13">
        <v>4</v>
      </c>
      <c r="F13">
        <v>6</v>
      </c>
      <c r="G13">
        <v>6</v>
      </c>
      <c r="H13">
        <v>4</v>
      </c>
      <c r="I13">
        <v>0</v>
      </c>
      <c r="J13">
        <v>12</v>
      </c>
      <c r="K13">
        <v>0</v>
      </c>
      <c r="L13">
        <v>12</v>
      </c>
      <c r="M13">
        <v>4</v>
      </c>
      <c r="N13">
        <v>4.8</v>
      </c>
      <c r="P13">
        <v>4</v>
      </c>
      <c r="Q13">
        <v>5.5</v>
      </c>
    </row>
    <row r="14" spans="1:17" x14ac:dyDescent="0.25">
      <c r="B14">
        <v>8</v>
      </c>
      <c r="C14" t="s">
        <v>123</v>
      </c>
      <c r="D14">
        <v>16</v>
      </c>
      <c r="E14">
        <v>10</v>
      </c>
      <c r="F14">
        <v>8</v>
      </c>
      <c r="G14">
        <v>40</v>
      </c>
      <c r="H14">
        <v>30</v>
      </c>
      <c r="I14">
        <v>12</v>
      </c>
      <c r="J14">
        <v>20</v>
      </c>
      <c r="K14">
        <v>4</v>
      </c>
      <c r="L14">
        <v>6</v>
      </c>
      <c r="M14">
        <v>8</v>
      </c>
      <c r="N14">
        <v>15.4</v>
      </c>
      <c r="P14">
        <v>13.7</v>
      </c>
      <c r="Q14">
        <v>12.9</v>
      </c>
    </row>
    <row r="15" spans="1:17" x14ac:dyDescent="0.25">
      <c r="B15">
        <v>9</v>
      </c>
      <c r="C15" t="s">
        <v>953</v>
      </c>
      <c r="D15">
        <v>8</v>
      </c>
      <c r="E15">
        <v>4</v>
      </c>
      <c r="F15">
        <v>28</v>
      </c>
      <c r="G15">
        <v>12</v>
      </c>
      <c r="H15">
        <v>12</v>
      </c>
      <c r="I15">
        <v>4</v>
      </c>
      <c r="J15" t="s">
        <v>163</v>
      </c>
      <c r="K15" t="s">
        <v>163</v>
      </c>
      <c r="L15">
        <v>18</v>
      </c>
      <c r="M15">
        <v>6</v>
      </c>
      <c r="N15">
        <v>11.5</v>
      </c>
      <c r="P15">
        <v>11</v>
      </c>
      <c r="Q15">
        <v>17</v>
      </c>
    </row>
    <row r="16" spans="1:17" x14ac:dyDescent="0.25">
      <c r="B16">
        <v>10</v>
      </c>
      <c r="C16" t="s">
        <v>131</v>
      </c>
      <c r="D16">
        <v>8</v>
      </c>
      <c r="E16">
        <v>0</v>
      </c>
      <c r="F16">
        <v>0</v>
      </c>
      <c r="G16">
        <v>12</v>
      </c>
      <c r="H16">
        <v>6</v>
      </c>
      <c r="I16">
        <v>30</v>
      </c>
      <c r="J16">
        <v>4</v>
      </c>
      <c r="K16">
        <v>12</v>
      </c>
      <c r="L16">
        <v>4</v>
      </c>
      <c r="M16">
        <v>8</v>
      </c>
      <c r="N16">
        <v>8.4</v>
      </c>
      <c r="P16">
        <v>7.5</v>
      </c>
      <c r="Q16">
        <v>6.6</v>
      </c>
    </row>
    <row r="17" spans="2:17" x14ac:dyDescent="0.25">
      <c r="B17">
        <v>11</v>
      </c>
      <c r="C17" t="s">
        <v>116</v>
      </c>
      <c r="D17">
        <v>6</v>
      </c>
      <c r="E17">
        <v>0</v>
      </c>
      <c r="F17">
        <v>28</v>
      </c>
      <c r="G17">
        <v>0</v>
      </c>
      <c r="H17">
        <v>4</v>
      </c>
      <c r="I17">
        <v>10</v>
      </c>
      <c r="J17">
        <v>6</v>
      </c>
      <c r="K17">
        <v>10</v>
      </c>
      <c r="L17">
        <v>10</v>
      </c>
      <c r="M17" t="s">
        <v>163</v>
      </c>
      <c r="N17">
        <v>8.1999999999999993</v>
      </c>
      <c r="P17">
        <v>10.9</v>
      </c>
      <c r="Q17">
        <v>13.8</v>
      </c>
    </row>
    <row r="18" spans="2:17" x14ac:dyDescent="0.25">
      <c r="B18">
        <v>12</v>
      </c>
      <c r="C18" t="s">
        <v>119</v>
      </c>
      <c r="D18">
        <v>0</v>
      </c>
      <c r="E18">
        <v>4</v>
      </c>
      <c r="F18">
        <v>4</v>
      </c>
      <c r="G18">
        <v>0</v>
      </c>
      <c r="H18">
        <v>10</v>
      </c>
      <c r="I18">
        <v>4</v>
      </c>
      <c r="J18">
        <v>10</v>
      </c>
      <c r="K18">
        <v>14</v>
      </c>
      <c r="L18">
        <v>12</v>
      </c>
      <c r="M18">
        <v>12</v>
      </c>
      <c r="N18">
        <v>7</v>
      </c>
      <c r="P18">
        <v>6.3</v>
      </c>
      <c r="Q18">
        <v>8</v>
      </c>
    </row>
    <row r="19" spans="2:17" x14ac:dyDescent="0.25">
      <c r="B19">
        <v>13</v>
      </c>
      <c r="C19" t="s">
        <v>130</v>
      </c>
      <c r="D19">
        <v>0</v>
      </c>
      <c r="E19">
        <v>4</v>
      </c>
      <c r="F19">
        <v>24</v>
      </c>
      <c r="G19">
        <v>0</v>
      </c>
      <c r="H19">
        <v>16</v>
      </c>
      <c r="I19">
        <v>0</v>
      </c>
      <c r="J19">
        <v>6</v>
      </c>
      <c r="K19">
        <v>12</v>
      </c>
      <c r="L19">
        <v>4</v>
      </c>
      <c r="M19">
        <v>0</v>
      </c>
      <c r="N19">
        <v>6.6</v>
      </c>
      <c r="P19">
        <v>6</v>
      </c>
      <c r="Q19">
        <v>8.9</v>
      </c>
    </row>
    <row r="20" spans="2:17" x14ac:dyDescent="0.25">
      <c r="B20">
        <v>14</v>
      </c>
      <c r="C20" t="s">
        <v>954</v>
      </c>
    </row>
    <row r="21" spans="2:17" x14ac:dyDescent="0.25">
      <c r="C21" t="s">
        <v>125</v>
      </c>
      <c r="D21">
        <v>12</v>
      </c>
      <c r="E21">
        <v>0</v>
      </c>
      <c r="F21">
        <v>30</v>
      </c>
      <c r="G21">
        <v>4</v>
      </c>
      <c r="H21">
        <v>0</v>
      </c>
      <c r="I21">
        <v>0</v>
      </c>
      <c r="J21">
        <v>12</v>
      </c>
      <c r="K21">
        <v>10</v>
      </c>
      <c r="L21">
        <v>10</v>
      </c>
      <c r="M21">
        <v>12</v>
      </c>
      <c r="N21">
        <v>9</v>
      </c>
      <c r="P21">
        <v>9.5</v>
      </c>
      <c r="Q21">
        <v>8.9</v>
      </c>
    </row>
    <row r="22" spans="2:17" x14ac:dyDescent="0.25">
      <c r="C22" t="s">
        <v>955</v>
      </c>
      <c r="D22">
        <v>4</v>
      </c>
      <c r="E22">
        <v>0</v>
      </c>
      <c r="F22">
        <v>0</v>
      </c>
      <c r="G22">
        <v>0</v>
      </c>
      <c r="H22">
        <v>12</v>
      </c>
      <c r="I22">
        <v>4</v>
      </c>
      <c r="J22">
        <v>4</v>
      </c>
      <c r="K22">
        <v>0</v>
      </c>
      <c r="L22">
        <v>10</v>
      </c>
      <c r="M22">
        <v>6</v>
      </c>
      <c r="N22">
        <v>4</v>
      </c>
      <c r="P22">
        <v>6.7</v>
      </c>
      <c r="Q22">
        <v>6.4</v>
      </c>
    </row>
    <row r="23" spans="2:17" x14ac:dyDescent="0.25">
      <c r="C23" t="s">
        <v>212</v>
      </c>
      <c r="D23">
        <v>0</v>
      </c>
      <c r="E23">
        <v>0</v>
      </c>
      <c r="F23">
        <v>6</v>
      </c>
      <c r="G23">
        <v>4</v>
      </c>
      <c r="H23">
        <v>0</v>
      </c>
      <c r="I23">
        <v>4</v>
      </c>
      <c r="J23">
        <v>4</v>
      </c>
      <c r="K23">
        <v>0</v>
      </c>
      <c r="L23">
        <v>0</v>
      </c>
      <c r="M23">
        <v>4</v>
      </c>
      <c r="N23">
        <v>2.2000000000000002</v>
      </c>
      <c r="P23">
        <v>2.7</v>
      </c>
      <c r="Q23">
        <v>5.0999999999999996</v>
      </c>
    </row>
    <row r="34" spans="2:14" x14ac:dyDescent="0.25">
      <c r="B34" t="s">
        <v>971</v>
      </c>
      <c r="D34">
        <v>10</v>
      </c>
      <c r="E34">
        <v>9</v>
      </c>
      <c r="F34">
        <v>11</v>
      </c>
      <c r="G34">
        <v>8</v>
      </c>
      <c r="H34">
        <v>10</v>
      </c>
      <c r="I34">
        <v>8</v>
      </c>
      <c r="J34">
        <v>10</v>
      </c>
      <c r="K34">
        <v>8</v>
      </c>
      <c r="L34">
        <v>10</v>
      </c>
      <c r="M34">
        <v>9</v>
      </c>
      <c r="N34">
        <v>10</v>
      </c>
    </row>
    <row r="35" spans="2:14" x14ac:dyDescent="0.25">
      <c r="B35" t="s">
        <v>972</v>
      </c>
      <c r="D35">
        <f>D34*22</f>
        <v>220</v>
      </c>
      <c r="E35">
        <f t="shared" ref="E35:N35" si="0">E34*22</f>
        <v>198</v>
      </c>
      <c r="F35">
        <f t="shared" si="0"/>
        <v>242</v>
      </c>
      <c r="G35">
        <f t="shared" si="0"/>
        <v>176</v>
      </c>
      <c r="H35">
        <f t="shared" si="0"/>
        <v>220</v>
      </c>
      <c r="I35">
        <f t="shared" si="0"/>
        <v>176</v>
      </c>
      <c r="J35">
        <f t="shared" si="0"/>
        <v>220</v>
      </c>
      <c r="K35">
        <f t="shared" si="0"/>
        <v>176</v>
      </c>
      <c r="L35">
        <f t="shared" si="0"/>
        <v>220</v>
      </c>
      <c r="M35">
        <f t="shared" si="0"/>
        <v>198</v>
      </c>
      <c r="N35">
        <f t="shared" si="0"/>
        <v>220</v>
      </c>
    </row>
    <row r="36" spans="2:14" x14ac:dyDescent="0.25">
      <c r="B36" t="s">
        <v>967</v>
      </c>
      <c r="D36">
        <f>SUM(D7:D23)</f>
        <v>230</v>
      </c>
      <c r="E36">
        <f t="shared" ref="E36:N36" si="1">SUM(E7:E23)</f>
        <v>142</v>
      </c>
      <c r="F36">
        <f t="shared" si="1"/>
        <v>194</v>
      </c>
      <c r="G36">
        <f t="shared" si="1"/>
        <v>146</v>
      </c>
      <c r="H36">
        <f t="shared" si="1"/>
        <v>216</v>
      </c>
      <c r="I36">
        <f t="shared" si="1"/>
        <v>148</v>
      </c>
      <c r="J36">
        <f t="shared" si="1"/>
        <v>196</v>
      </c>
      <c r="K36">
        <f t="shared" si="1"/>
        <v>164</v>
      </c>
      <c r="L36">
        <f t="shared" si="1"/>
        <v>208</v>
      </c>
      <c r="M36">
        <f t="shared" si="1"/>
        <v>180</v>
      </c>
      <c r="N36">
        <f t="shared" si="1"/>
        <v>198.89999999999995</v>
      </c>
    </row>
    <row r="38" spans="2:14" x14ac:dyDescent="0.25">
      <c r="B38" t="s">
        <v>968</v>
      </c>
      <c r="C38" t="s">
        <v>966</v>
      </c>
      <c r="D38" t="s">
        <v>969</v>
      </c>
      <c r="E38" t="s">
        <v>970</v>
      </c>
      <c r="F38" t="s">
        <v>973</v>
      </c>
    </row>
    <row r="39" spans="2:14" x14ac:dyDescent="0.25">
      <c r="B39">
        <v>1.95</v>
      </c>
      <c r="C39" t="str">
        <f>C7</f>
        <v>莫雷拉</v>
      </c>
      <c r="D39" s="67">
        <f>0.8/B39</f>
        <v>0.4102564102564103</v>
      </c>
      <c r="E39" s="68">
        <f>AVERAGE(D7:F7)</f>
        <v>48.666666666666664</v>
      </c>
      <c r="F39" s="68">
        <f>AVERAGE(D7/D$34,E7/E$34,F7/F$34)</f>
        <v>5.0161616161616163</v>
      </c>
    </row>
    <row r="40" spans="2:14" x14ac:dyDescent="0.25">
      <c r="B40">
        <v>7</v>
      </c>
      <c r="C40" t="str">
        <f t="shared" ref="C40:C55" si="2">C8</f>
        <v>史卓豐</v>
      </c>
      <c r="D40" s="67">
        <f t="shared" ref="D40:D52" si="3">0.8/B40</f>
        <v>0.1142857142857143</v>
      </c>
      <c r="E40" s="68">
        <f>AVERAGE(D8:F8)</f>
        <v>16.666666666666668</v>
      </c>
      <c r="F40" s="68">
        <f t="shared" ref="F40:F55" si="4">AVERAGE(D8/D$34,E8/E$34,F8/F$34)</f>
        <v>1.6989898989898988</v>
      </c>
    </row>
    <row r="41" spans="2:14" x14ac:dyDescent="0.25">
      <c r="B41">
        <v>7.5</v>
      </c>
      <c r="C41" t="str">
        <f t="shared" si="2"/>
        <v>羅理雅</v>
      </c>
      <c r="D41" s="67">
        <f t="shared" si="3"/>
        <v>0.10666666666666667</v>
      </c>
      <c r="E41" s="68">
        <f>AVERAGE(D9:F9)</f>
        <v>8</v>
      </c>
      <c r="F41" s="68">
        <f t="shared" si="4"/>
        <v>0.76363636363636367</v>
      </c>
    </row>
    <row r="42" spans="2:14" x14ac:dyDescent="0.25">
      <c r="B42">
        <v>11</v>
      </c>
      <c r="C42" t="str">
        <f t="shared" si="2"/>
        <v>韋達</v>
      </c>
      <c r="D42" s="67">
        <f t="shared" si="3"/>
        <v>7.2727272727272738E-2</v>
      </c>
      <c r="E42" s="68">
        <f>AVERAGE(D10:F10)</f>
        <v>14</v>
      </c>
      <c r="F42" s="68">
        <f t="shared" si="4"/>
        <v>1.4666666666666668</v>
      </c>
    </row>
    <row r="43" spans="2:14" x14ac:dyDescent="0.25">
      <c r="B43">
        <v>16</v>
      </c>
      <c r="C43" t="str">
        <f t="shared" si="2"/>
        <v>祈普敦</v>
      </c>
      <c r="D43" s="67">
        <f t="shared" si="3"/>
        <v>0.05</v>
      </c>
      <c r="E43" s="68">
        <f>AVERAGE(D11:F11)</f>
        <v>11.333333333333334</v>
      </c>
      <c r="F43" s="68">
        <f t="shared" si="4"/>
        <v>1.1434343434343435</v>
      </c>
    </row>
    <row r="44" spans="2:14" x14ac:dyDescent="0.25">
      <c r="B44">
        <v>16</v>
      </c>
      <c r="C44" t="str">
        <f t="shared" si="2"/>
        <v>潘頓</v>
      </c>
      <c r="D44" s="67">
        <f t="shared" si="3"/>
        <v>0.05</v>
      </c>
      <c r="E44" s="68">
        <f>AVERAGE(D12:F12)</f>
        <v>18.666666666666668</v>
      </c>
      <c r="F44" s="68">
        <f t="shared" si="4"/>
        <v>1.8922558922558921</v>
      </c>
    </row>
    <row r="45" spans="2:14" x14ac:dyDescent="0.25">
      <c r="B45">
        <v>25</v>
      </c>
      <c r="C45" t="str">
        <f t="shared" si="2"/>
        <v>黎海榮</v>
      </c>
      <c r="D45" s="67">
        <f t="shared" si="3"/>
        <v>3.2000000000000001E-2</v>
      </c>
      <c r="E45" s="68">
        <f>AVERAGE(D13:F13)</f>
        <v>3.3333333333333335</v>
      </c>
      <c r="F45" s="68">
        <f t="shared" si="4"/>
        <v>0.32996632996632996</v>
      </c>
    </row>
    <row r="46" spans="2:14" x14ac:dyDescent="0.25">
      <c r="B46">
        <v>35</v>
      </c>
      <c r="C46" t="str">
        <f t="shared" si="2"/>
        <v>柏寶</v>
      </c>
      <c r="D46" s="67">
        <f t="shared" si="3"/>
        <v>2.2857142857142857E-2</v>
      </c>
      <c r="E46" s="68">
        <f>AVERAGE(D14:F14)</f>
        <v>11.333333333333334</v>
      </c>
      <c r="F46" s="68">
        <f t="shared" si="4"/>
        <v>1.1461279461279463</v>
      </c>
    </row>
    <row r="47" spans="2:14" x14ac:dyDescent="0.25">
      <c r="B47">
        <v>25</v>
      </c>
      <c r="C47" t="str">
        <f t="shared" si="2"/>
        <v>蔣嘉琦</v>
      </c>
      <c r="D47" s="67">
        <f t="shared" si="3"/>
        <v>3.2000000000000001E-2</v>
      </c>
      <c r="E47" s="68">
        <f>AVERAGE(D15:F15)</f>
        <v>13.333333333333334</v>
      </c>
      <c r="F47" s="68">
        <f t="shared" si="4"/>
        <v>1.2632996632996634</v>
      </c>
    </row>
    <row r="48" spans="2:14" x14ac:dyDescent="0.25">
      <c r="B48">
        <v>35</v>
      </c>
      <c r="C48" t="str">
        <f t="shared" si="2"/>
        <v>何澤堯</v>
      </c>
      <c r="D48" s="67">
        <f t="shared" si="3"/>
        <v>2.2857142857142857E-2</v>
      </c>
      <c r="E48" s="68">
        <f>AVERAGE(D16:F16)</f>
        <v>2.6666666666666665</v>
      </c>
      <c r="F48" s="68">
        <f t="shared" si="4"/>
        <v>0.26666666666666666</v>
      </c>
    </row>
    <row r="49" spans="2:6" x14ac:dyDescent="0.25">
      <c r="B49">
        <v>14</v>
      </c>
      <c r="C49" t="str">
        <f t="shared" si="2"/>
        <v>田泰安</v>
      </c>
      <c r="D49" s="67">
        <f t="shared" si="3"/>
        <v>5.7142857142857148E-2</v>
      </c>
      <c r="E49" s="68">
        <f>AVERAGE(D17:F17)</f>
        <v>11.333333333333334</v>
      </c>
      <c r="F49" s="68">
        <f t="shared" si="4"/>
        <v>1.0484848484848486</v>
      </c>
    </row>
    <row r="50" spans="2:6" x14ac:dyDescent="0.25">
      <c r="B50">
        <v>85</v>
      </c>
      <c r="C50" t="str">
        <f t="shared" si="2"/>
        <v>杜利萊</v>
      </c>
      <c r="D50" s="67">
        <f t="shared" si="3"/>
        <v>9.4117647058823539E-3</v>
      </c>
      <c r="E50" s="68">
        <f>AVERAGE(D18:F18)</f>
        <v>2.6666666666666665</v>
      </c>
      <c r="F50" s="68">
        <f t="shared" si="4"/>
        <v>0.26936026936026936</v>
      </c>
    </row>
    <row r="51" spans="2:6" x14ac:dyDescent="0.25">
      <c r="B51">
        <v>40</v>
      </c>
      <c r="C51" t="str">
        <f t="shared" si="2"/>
        <v>楊明綸</v>
      </c>
      <c r="D51" s="67">
        <f t="shared" si="3"/>
        <v>0.02</v>
      </c>
      <c r="E51" s="68">
        <f>AVERAGE(D19:F19)</f>
        <v>9.3333333333333339</v>
      </c>
      <c r="F51" s="68">
        <f t="shared" si="4"/>
        <v>0.87542087542087543</v>
      </c>
    </row>
    <row r="52" spans="2:6" x14ac:dyDescent="0.25">
      <c r="B52">
        <v>100</v>
      </c>
      <c r="C52" t="str">
        <f t="shared" si="2"/>
        <v>其他騎師</v>
      </c>
      <c r="D52" s="67">
        <f t="shared" si="3"/>
        <v>8.0000000000000002E-3</v>
      </c>
      <c r="E52" s="68"/>
      <c r="F52" s="68"/>
    </row>
    <row r="53" spans="2:6" x14ac:dyDescent="0.25">
      <c r="C53" t="str">
        <f t="shared" si="2"/>
        <v>梁家俊</v>
      </c>
      <c r="E53" s="68">
        <f>AVERAGE(D21:F21)</f>
        <v>14</v>
      </c>
      <c r="F53" s="68">
        <f t="shared" si="4"/>
        <v>1.3090909090909089</v>
      </c>
    </row>
    <row r="54" spans="2:6" x14ac:dyDescent="0.25">
      <c r="C54" t="str">
        <f t="shared" si="2"/>
        <v>黃皓楠</v>
      </c>
      <c r="E54" s="68">
        <f>AVERAGE(D22:F22)</f>
        <v>1.3333333333333333</v>
      </c>
      <c r="F54" s="68">
        <f t="shared" si="4"/>
        <v>0.13333333333333333</v>
      </c>
    </row>
    <row r="55" spans="2:6" x14ac:dyDescent="0.25">
      <c r="C55" t="str">
        <f t="shared" si="2"/>
        <v>寶遜</v>
      </c>
      <c r="E55" s="68">
        <f>AVERAGE(D23:F23)</f>
        <v>2</v>
      </c>
      <c r="F55" s="68">
        <f t="shared" si="4"/>
        <v>0.1818181818181818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"/>
  <sheetViews>
    <sheetView workbookViewId="0">
      <selection activeCell="G6" sqref="G6"/>
    </sheetView>
  </sheetViews>
  <sheetFormatPr defaultRowHeight="15.75" x14ac:dyDescent="0.25"/>
  <cols>
    <col min="2" max="2" width="9.7109375" bestFit="1" customWidth="1"/>
  </cols>
  <sheetData>
    <row r="1" spans="1:6" x14ac:dyDescent="0.25">
      <c r="A1" t="s">
        <v>988</v>
      </c>
    </row>
    <row r="2" spans="1:6" x14ac:dyDescent="0.25">
      <c r="A2" t="s">
        <v>994</v>
      </c>
      <c r="B2" t="s">
        <v>993</v>
      </c>
      <c r="C2" t="s">
        <v>992</v>
      </c>
      <c r="D2" t="s">
        <v>991</v>
      </c>
      <c r="E2" t="s">
        <v>990</v>
      </c>
      <c r="F2" t="s">
        <v>995</v>
      </c>
    </row>
    <row r="3" spans="1:6" x14ac:dyDescent="0.25">
      <c r="A3" t="s">
        <v>989</v>
      </c>
      <c r="B3">
        <v>20161019</v>
      </c>
      <c r="C3">
        <v>8</v>
      </c>
      <c r="D3">
        <v>1200</v>
      </c>
      <c r="E3">
        <v>3</v>
      </c>
      <c r="F3" t="s">
        <v>996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22"/>
  <sheetViews>
    <sheetView workbookViewId="0">
      <selection activeCell="P3" sqref="P3"/>
    </sheetView>
  </sheetViews>
  <sheetFormatPr defaultRowHeight="15.75" x14ac:dyDescent="0.25"/>
  <sheetData>
    <row r="1" spans="1:26" x14ac:dyDescent="0.25">
      <c r="A1" t="s">
        <v>407</v>
      </c>
    </row>
    <row r="2" spans="1:26" x14ac:dyDescent="0.25">
      <c r="B2" s="46" t="s">
        <v>139</v>
      </c>
      <c r="C2" s="46" t="s">
        <v>140</v>
      </c>
      <c r="D2" s="46" t="s">
        <v>141</v>
      </c>
      <c r="E2" s="46" t="s">
        <v>142</v>
      </c>
      <c r="F2" s="46" t="s">
        <v>143</v>
      </c>
      <c r="G2" s="46" t="s">
        <v>144</v>
      </c>
      <c r="H2" s="46" t="s">
        <v>145</v>
      </c>
      <c r="I2" s="46" t="s">
        <v>146</v>
      </c>
      <c r="J2" s="46" t="s">
        <v>147</v>
      </c>
      <c r="K2" s="46" t="s">
        <v>65</v>
      </c>
      <c r="L2" s="46" t="s">
        <v>148</v>
      </c>
      <c r="M2" s="46" t="s">
        <v>149</v>
      </c>
      <c r="N2" s="46" t="s">
        <v>150</v>
      </c>
      <c r="O2" s="46" t="s">
        <v>151</v>
      </c>
      <c r="P2" s="46" t="s">
        <v>152</v>
      </c>
      <c r="Q2" s="46" t="s">
        <v>153</v>
      </c>
      <c r="R2" s="46" t="s">
        <v>154</v>
      </c>
      <c r="S2" s="46" t="s">
        <v>155</v>
      </c>
      <c r="T2" s="46" t="s">
        <v>156</v>
      </c>
      <c r="U2" s="46" t="s">
        <v>157</v>
      </c>
      <c r="V2" s="46" t="s">
        <v>158</v>
      </c>
      <c r="W2" s="46" t="s">
        <v>159</v>
      </c>
      <c r="X2" s="46" t="s">
        <v>160</v>
      </c>
      <c r="Y2" s="46" t="s">
        <v>161</v>
      </c>
      <c r="Z2" s="46" t="s">
        <v>162</v>
      </c>
    </row>
    <row r="3" spans="1:26" x14ac:dyDescent="0.25">
      <c r="B3" s="46">
        <v>1</v>
      </c>
      <c r="C3" s="46" t="s">
        <v>408</v>
      </c>
      <c r="D3" s="46" t="s">
        <v>409</v>
      </c>
      <c r="E3" s="46" t="s">
        <v>410</v>
      </c>
      <c r="F3" s="46" t="s">
        <v>409</v>
      </c>
      <c r="G3" s="46">
        <v>133</v>
      </c>
      <c r="H3" s="46" t="s">
        <v>126</v>
      </c>
      <c r="I3" s="46"/>
      <c r="J3" s="46">
        <v>9</v>
      </c>
      <c r="K3" s="46" t="s">
        <v>90</v>
      </c>
      <c r="L3" s="46">
        <v>38</v>
      </c>
      <c r="M3" s="46">
        <v>2</v>
      </c>
      <c r="N3" s="46">
        <v>1129</v>
      </c>
      <c r="O3" s="46">
        <v>2</v>
      </c>
      <c r="P3" s="46" t="s">
        <v>411</v>
      </c>
      <c r="Q3" s="46">
        <v>8</v>
      </c>
      <c r="R3" s="46" t="s">
        <v>163</v>
      </c>
      <c r="S3" s="46" t="s">
        <v>165</v>
      </c>
      <c r="T3" s="46">
        <v>277200</v>
      </c>
      <c r="U3" s="46">
        <v>1</v>
      </c>
      <c r="V3" s="46" t="s">
        <v>412</v>
      </c>
      <c r="W3" s="46" t="s">
        <v>413</v>
      </c>
      <c r="X3" s="46" t="s">
        <v>168</v>
      </c>
      <c r="Y3" s="46" t="s">
        <v>414</v>
      </c>
      <c r="Z3" s="46" t="s">
        <v>167</v>
      </c>
    </row>
    <row r="4" spans="1:26" x14ac:dyDescent="0.25">
      <c r="B4" s="46">
        <v>2</v>
      </c>
      <c r="C4" s="46" t="s">
        <v>415</v>
      </c>
      <c r="D4" s="46" t="s">
        <v>416</v>
      </c>
      <c r="E4" s="46" t="s">
        <v>417</v>
      </c>
      <c r="F4" s="46" t="s">
        <v>416</v>
      </c>
      <c r="G4" s="46">
        <v>133</v>
      </c>
      <c r="H4" s="46" t="s">
        <v>123</v>
      </c>
      <c r="I4" s="46"/>
      <c r="J4" s="46">
        <v>10</v>
      </c>
      <c r="K4" s="46" t="s">
        <v>105</v>
      </c>
      <c r="L4" s="46">
        <v>38</v>
      </c>
      <c r="M4" s="46">
        <v>-2</v>
      </c>
      <c r="N4" s="46">
        <v>1087</v>
      </c>
      <c r="O4" s="46">
        <v>-9</v>
      </c>
      <c r="P4" s="46" t="s">
        <v>418</v>
      </c>
      <c r="Q4" s="46">
        <v>4</v>
      </c>
      <c r="R4" s="46" t="s">
        <v>163</v>
      </c>
      <c r="S4" s="46" t="s">
        <v>165</v>
      </c>
      <c r="T4" s="46">
        <v>72450</v>
      </c>
      <c r="U4" s="46">
        <v>1</v>
      </c>
      <c r="V4" s="46" t="s">
        <v>419</v>
      </c>
      <c r="W4" s="46" t="s">
        <v>299</v>
      </c>
      <c r="X4" s="46" t="s">
        <v>344</v>
      </c>
      <c r="Y4" s="46" t="s">
        <v>420</v>
      </c>
      <c r="Z4" s="46" t="s">
        <v>164</v>
      </c>
    </row>
    <row r="5" spans="1:26" x14ac:dyDescent="0.25">
      <c r="B5" s="46">
        <v>3</v>
      </c>
      <c r="C5" s="46" t="s">
        <v>421</v>
      </c>
      <c r="D5" s="46" t="s">
        <v>353</v>
      </c>
      <c r="E5" s="46" t="s">
        <v>354</v>
      </c>
      <c r="F5" s="46" t="s">
        <v>353</v>
      </c>
      <c r="G5" s="46">
        <v>133</v>
      </c>
      <c r="H5" s="46" t="s">
        <v>114</v>
      </c>
      <c r="I5" s="46"/>
      <c r="J5" s="46">
        <v>1</v>
      </c>
      <c r="K5" s="46" t="s">
        <v>103</v>
      </c>
      <c r="L5" s="46">
        <v>38</v>
      </c>
      <c r="M5" s="46">
        <v>-2</v>
      </c>
      <c r="N5" s="46">
        <v>1067</v>
      </c>
      <c r="O5" s="46">
        <v>4</v>
      </c>
      <c r="P5" s="46" t="s">
        <v>422</v>
      </c>
      <c r="Q5" s="46">
        <v>8</v>
      </c>
      <c r="R5" s="46" t="s">
        <v>163</v>
      </c>
      <c r="S5" s="46" t="s">
        <v>165</v>
      </c>
      <c r="T5" s="46">
        <v>29400</v>
      </c>
      <c r="U5" s="46">
        <v>1</v>
      </c>
      <c r="V5" s="46" t="s">
        <v>179</v>
      </c>
      <c r="W5" s="46" t="s">
        <v>355</v>
      </c>
      <c r="X5" s="46" t="s">
        <v>356</v>
      </c>
      <c r="Y5" s="46" t="s">
        <v>357</v>
      </c>
      <c r="Z5" s="46" t="s">
        <v>164</v>
      </c>
    </row>
    <row r="6" spans="1:26" x14ac:dyDescent="0.25">
      <c r="B6" s="46">
        <v>4</v>
      </c>
      <c r="C6" s="46" t="s">
        <v>423</v>
      </c>
      <c r="D6" s="46" t="s">
        <v>424</v>
      </c>
      <c r="E6" s="46" t="s">
        <v>425</v>
      </c>
      <c r="F6" s="46" t="s">
        <v>424</v>
      </c>
      <c r="G6" s="46">
        <v>131</v>
      </c>
      <c r="H6" s="46" t="s">
        <v>112</v>
      </c>
      <c r="I6" s="46"/>
      <c r="J6" s="46">
        <v>12</v>
      </c>
      <c r="K6" s="46" t="s">
        <v>95</v>
      </c>
      <c r="L6" s="46">
        <v>36</v>
      </c>
      <c r="M6" s="46">
        <v>-2</v>
      </c>
      <c r="N6" s="46">
        <v>1119</v>
      </c>
      <c r="O6" s="46">
        <v>10</v>
      </c>
      <c r="P6" s="46" t="s">
        <v>426</v>
      </c>
      <c r="Q6" s="46">
        <v>5</v>
      </c>
      <c r="R6" s="46" t="s">
        <v>163</v>
      </c>
      <c r="S6" s="46" t="s">
        <v>165</v>
      </c>
      <c r="T6" s="46">
        <v>22050</v>
      </c>
      <c r="U6" s="46">
        <v>1</v>
      </c>
      <c r="V6" s="46" t="s">
        <v>211</v>
      </c>
      <c r="W6" s="46" t="s">
        <v>427</v>
      </c>
      <c r="X6" s="46" t="s">
        <v>192</v>
      </c>
      <c r="Y6" s="46" t="s">
        <v>428</v>
      </c>
      <c r="Z6" s="46" t="s">
        <v>167</v>
      </c>
    </row>
    <row r="7" spans="1:26" x14ac:dyDescent="0.25">
      <c r="B7" s="46">
        <v>5</v>
      </c>
      <c r="C7" s="46" t="s">
        <v>429</v>
      </c>
      <c r="D7" s="46" t="s">
        <v>430</v>
      </c>
      <c r="E7" s="46" t="s">
        <v>431</v>
      </c>
      <c r="F7" s="46" t="s">
        <v>430</v>
      </c>
      <c r="G7" s="46">
        <v>131</v>
      </c>
      <c r="H7" s="46" t="s">
        <v>210</v>
      </c>
      <c r="I7" s="46"/>
      <c r="J7" s="46">
        <v>6</v>
      </c>
      <c r="K7" s="46" t="s">
        <v>107</v>
      </c>
      <c r="L7" s="46">
        <v>36</v>
      </c>
      <c r="M7" s="46">
        <v>0</v>
      </c>
      <c r="N7" s="46">
        <v>1043</v>
      </c>
      <c r="O7" s="46">
        <v>-14</v>
      </c>
      <c r="P7" s="46"/>
      <c r="Q7" s="46">
        <v>6</v>
      </c>
      <c r="R7" s="46" t="s">
        <v>163</v>
      </c>
      <c r="S7" s="46" t="s">
        <v>165</v>
      </c>
      <c r="T7" s="46">
        <v>72450</v>
      </c>
      <c r="U7" s="46">
        <v>1</v>
      </c>
      <c r="V7" s="46" t="s">
        <v>432</v>
      </c>
      <c r="W7" s="46" t="s">
        <v>433</v>
      </c>
      <c r="X7" s="46" t="s">
        <v>168</v>
      </c>
      <c r="Y7" s="46" t="s">
        <v>434</v>
      </c>
      <c r="Z7" s="46" t="s">
        <v>167</v>
      </c>
    </row>
    <row r="8" spans="1:26" x14ac:dyDescent="0.25">
      <c r="B8" s="46">
        <v>6</v>
      </c>
      <c r="C8" s="46" t="s">
        <v>435</v>
      </c>
      <c r="D8" s="46" t="s">
        <v>436</v>
      </c>
      <c r="E8" s="46" t="s">
        <v>437</v>
      </c>
      <c r="F8" s="46" t="s">
        <v>436</v>
      </c>
      <c r="G8" s="46">
        <v>129</v>
      </c>
      <c r="H8" s="46" t="s">
        <v>175</v>
      </c>
      <c r="I8" s="46"/>
      <c r="J8" s="46">
        <v>3</v>
      </c>
      <c r="K8" s="46" t="s">
        <v>94</v>
      </c>
      <c r="L8" s="46">
        <v>34</v>
      </c>
      <c r="M8" s="46">
        <v>-1</v>
      </c>
      <c r="N8" s="46">
        <v>1086</v>
      </c>
      <c r="O8" s="46">
        <v>-10</v>
      </c>
      <c r="P8" s="46"/>
      <c r="Q8" s="46">
        <v>6</v>
      </c>
      <c r="R8" s="46" t="s">
        <v>163</v>
      </c>
      <c r="S8" s="46" t="s">
        <v>165</v>
      </c>
      <c r="T8" s="46">
        <v>0</v>
      </c>
      <c r="U8" s="46">
        <v>1</v>
      </c>
      <c r="V8" s="46" t="s">
        <v>166</v>
      </c>
      <c r="W8" s="46" t="s">
        <v>438</v>
      </c>
      <c r="X8" s="46" t="s">
        <v>439</v>
      </c>
      <c r="Y8" s="46" t="s">
        <v>440</v>
      </c>
      <c r="Z8" s="46" t="s">
        <v>167</v>
      </c>
    </row>
    <row r="9" spans="1:26" x14ac:dyDescent="0.25">
      <c r="B9" s="46">
        <v>7</v>
      </c>
      <c r="C9" s="46" t="s">
        <v>441</v>
      </c>
      <c r="D9" s="46" t="s">
        <v>442</v>
      </c>
      <c r="E9" s="46" t="s">
        <v>443</v>
      </c>
      <c r="F9" s="46" t="s">
        <v>442</v>
      </c>
      <c r="G9" s="46">
        <v>126</v>
      </c>
      <c r="H9" s="46" t="s">
        <v>169</v>
      </c>
      <c r="I9" s="46"/>
      <c r="J9" s="46">
        <v>5</v>
      </c>
      <c r="K9" s="46" t="s">
        <v>108</v>
      </c>
      <c r="L9" s="46">
        <v>31</v>
      </c>
      <c r="M9" s="46">
        <v>-2</v>
      </c>
      <c r="N9" s="46">
        <v>1101</v>
      </c>
      <c r="O9" s="46">
        <v>7</v>
      </c>
      <c r="P9" s="46" t="s">
        <v>444</v>
      </c>
      <c r="Q9" s="46">
        <v>5</v>
      </c>
      <c r="R9" s="46" t="s">
        <v>163</v>
      </c>
      <c r="S9" s="46" t="s">
        <v>165</v>
      </c>
      <c r="T9" s="46">
        <v>0</v>
      </c>
      <c r="U9" s="46">
        <v>1</v>
      </c>
      <c r="V9" s="46" t="s">
        <v>211</v>
      </c>
      <c r="W9" s="46" t="s">
        <v>445</v>
      </c>
      <c r="X9" s="46" t="s">
        <v>446</v>
      </c>
      <c r="Y9" s="46" t="s">
        <v>447</v>
      </c>
      <c r="Z9" s="46" t="s">
        <v>164</v>
      </c>
    </row>
    <row r="10" spans="1:26" x14ac:dyDescent="0.25">
      <c r="B10" s="46">
        <v>8</v>
      </c>
      <c r="C10" s="46" t="s">
        <v>448</v>
      </c>
      <c r="D10" s="46" t="s">
        <v>449</v>
      </c>
      <c r="E10" s="46" t="s">
        <v>450</v>
      </c>
      <c r="F10" s="46" t="s">
        <v>449</v>
      </c>
      <c r="G10" s="46">
        <v>126</v>
      </c>
      <c r="H10" s="46" t="s">
        <v>113</v>
      </c>
      <c r="I10" s="46"/>
      <c r="J10" s="46">
        <v>7</v>
      </c>
      <c r="K10" s="46" t="s">
        <v>102</v>
      </c>
      <c r="L10" s="46">
        <v>31</v>
      </c>
      <c r="M10" s="46">
        <v>-3</v>
      </c>
      <c r="N10" s="46">
        <v>1088</v>
      </c>
      <c r="O10" s="46">
        <v>1</v>
      </c>
      <c r="P10" s="46" t="s">
        <v>451</v>
      </c>
      <c r="Q10" s="46">
        <v>5</v>
      </c>
      <c r="R10" s="46" t="s">
        <v>163</v>
      </c>
      <c r="S10" s="46" t="s">
        <v>165</v>
      </c>
      <c r="T10" s="46">
        <v>0</v>
      </c>
      <c r="U10" s="46">
        <v>1</v>
      </c>
      <c r="V10" s="46" t="s">
        <v>452</v>
      </c>
      <c r="W10" s="46" t="s">
        <v>453</v>
      </c>
      <c r="X10" s="46" t="s">
        <v>454</v>
      </c>
      <c r="Y10" s="46" t="s">
        <v>455</v>
      </c>
      <c r="Z10" s="46" t="s">
        <v>167</v>
      </c>
    </row>
    <row r="11" spans="1:26" x14ac:dyDescent="0.25">
      <c r="B11" s="46">
        <v>9</v>
      </c>
      <c r="C11" s="46" t="s">
        <v>456</v>
      </c>
      <c r="D11" s="46" t="s">
        <v>457</v>
      </c>
      <c r="E11" s="46" t="s">
        <v>458</v>
      </c>
      <c r="F11" s="46" t="s">
        <v>457</v>
      </c>
      <c r="G11" s="46">
        <v>125</v>
      </c>
      <c r="H11" s="46" t="s">
        <v>119</v>
      </c>
      <c r="I11" s="46"/>
      <c r="J11" s="46">
        <v>4</v>
      </c>
      <c r="K11" s="46" t="s">
        <v>97</v>
      </c>
      <c r="L11" s="46">
        <v>30</v>
      </c>
      <c r="M11" s="46">
        <v>0</v>
      </c>
      <c r="N11" s="46">
        <v>1069</v>
      </c>
      <c r="O11" s="46">
        <v>8</v>
      </c>
      <c r="P11" s="46" t="s">
        <v>459</v>
      </c>
      <c r="Q11" s="46">
        <v>5</v>
      </c>
      <c r="R11" s="46" t="s">
        <v>163</v>
      </c>
      <c r="S11" s="46" t="s">
        <v>165</v>
      </c>
      <c r="T11" s="46">
        <v>138600</v>
      </c>
      <c r="U11" s="46">
        <v>1</v>
      </c>
      <c r="V11" s="46" t="s">
        <v>460</v>
      </c>
      <c r="W11" s="46" t="s">
        <v>461</v>
      </c>
      <c r="X11" s="46" t="s">
        <v>462</v>
      </c>
      <c r="Y11" s="46" t="s">
        <v>463</v>
      </c>
      <c r="Z11" s="46" t="s">
        <v>167</v>
      </c>
    </row>
    <row r="12" spans="1:26" x14ac:dyDescent="0.25">
      <c r="B12" s="46">
        <v>10</v>
      </c>
      <c r="C12" s="46" t="s">
        <v>464</v>
      </c>
      <c r="D12" s="46" t="s">
        <v>465</v>
      </c>
      <c r="E12" s="46" t="s">
        <v>466</v>
      </c>
      <c r="F12" s="46" t="s">
        <v>465</v>
      </c>
      <c r="G12" s="46">
        <v>122</v>
      </c>
      <c r="H12" s="46" t="s">
        <v>135</v>
      </c>
      <c r="I12" s="46"/>
      <c r="J12" s="46">
        <v>11</v>
      </c>
      <c r="K12" s="46" t="s">
        <v>100</v>
      </c>
      <c r="L12" s="46">
        <v>27</v>
      </c>
      <c r="M12" s="46">
        <v>-2</v>
      </c>
      <c r="N12" s="46">
        <v>1070</v>
      </c>
      <c r="O12" s="46">
        <v>-1</v>
      </c>
      <c r="P12" s="46" t="s">
        <v>467</v>
      </c>
      <c r="Q12" s="46">
        <v>5</v>
      </c>
      <c r="R12" s="46" t="s">
        <v>163</v>
      </c>
      <c r="S12" s="46" t="s">
        <v>165</v>
      </c>
      <c r="T12" s="46">
        <v>0</v>
      </c>
      <c r="U12" s="46">
        <v>1</v>
      </c>
      <c r="V12" s="46" t="s">
        <v>468</v>
      </c>
      <c r="W12" s="46" t="s">
        <v>469</v>
      </c>
      <c r="X12" s="46" t="s">
        <v>219</v>
      </c>
      <c r="Y12" s="46" t="s">
        <v>470</v>
      </c>
      <c r="Z12" s="46" t="s">
        <v>167</v>
      </c>
    </row>
    <row r="13" spans="1:26" x14ac:dyDescent="0.25">
      <c r="B13" s="46">
        <v>11</v>
      </c>
      <c r="C13" s="46" t="s">
        <v>471</v>
      </c>
      <c r="D13" s="46" t="s">
        <v>472</v>
      </c>
      <c r="E13" s="46" t="s">
        <v>473</v>
      </c>
      <c r="F13" s="46" t="s">
        <v>472</v>
      </c>
      <c r="G13" s="46">
        <v>114</v>
      </c>
      <c r="H13" s="46" t="s">
        <v>172</v>
      </c>
      <c r="I13" s="46">
        <v>2</v>
      </c>
      <c r="J13" s="46">
        <v>8</v>
      </c>
      <c r="K13" s="46" t="s">
        <v>103</v>
      </c>
      <c r="L13" s="46">
        <v>19</v>
      </c>
      <c r="M13" s="46">
        <v>-5</v>
      </c>
      <c r="N13" s="46">
        <v>1115</v>
      </c>
      <c r="O13" s="46">
        <v>34</v>
      </c>
      <c r="P13" s="46" t="s">
        <v>474</v>
      </c>
      <c r="Q13" s="46">
        <v>5</v>
      </c>
      <c r="R13" s="46" t="s">
        <v>163</v>
      </c>
      <c r="S13" s="46" t="s">
        <v>165</v>
      </c>
      <c r="T13" s="46">
        <v>0</v>
      </c>
      <c r="U13" s="46">
        <v>2</v>
      </c>
      <c r="V13" s="46"/>
      <c r="W13" s="46" t="s">
        <v>475</v>
      </c>
      <c r="X13" s="46" t="s">
        <v>476</v>
      </c>
      <c r="Y13" s="46" t="s">
        <v>477</v>
      </c>
      <c r="Z13" s="46" t="s">
        <v>167</v>
      </c>
    </row>
    <row r="14" spans="1:26" x14ac:dyDescent="0.25">
      <c r="B14" s="46">
        <v>12</v>
      </c>
      <c r="C14" s="46" t="s">
        <v>478</v>
      </c>
      <c r="D14" s="46" t="s">
        <v>479</v>
      </c>
      <c r="E14" s="46" t="s">
        <v>480</v>
      </c>
      <c r="F14" s="46" t="s">
        <v>479</v>
      </c>
      <c r="G14" s="46">
        <v>114</v>
      </c>
      <c r="H14" s="46" t="s">
        <v>116</v>
      </c>
      <c r="I14" s="46"/>
      <c r="J14" s="46">
        <v>2</v>
      </c>
      <c r="K14" s="46" t="s">
        <v>108</v>
      </c>
      <c r="L14" s="46">
        <v>19</v>
      </c>
      <c r="M14" s="46">
        <v>-3</v>
      </c>
      <c r="N14" s="46">
        <v>1147</v>
      </c>
      <c r="O14" s="46">
        <v>-6</v>
      </c>
      <c r="P14" s="46" t="s">
        <v>481</v>
      </c>
      <c r="Q14" s="46">
        <v>5</v>
      </c>
      <c r="R14" s="46" t="s">
        <v>163</v>
      </c>
      <c r="S14" s="46" t="s">
        <v>165</v>
      </c>
      <c r="T14" s="46">
        <v>22050</v>
      </c>
      <c r="U14" s="46">
        <v>2</v>
      </c>
      <c r="V14" s="46" t="s">
        <v>482</v>
      </c>
      <c r="W14" s="46" t="s">
        <v>483</v>
      </c>
      <c r="X14" s="46" t="s">
        <v>476</v>
      </c>
      <c r="Y14" s="46" t="s">
        <v>484</v>
      </c>
      <c r="Z14" s="46" t="s">
        <v>167</v>
      </c>
    </row>
    <row r="15" spans="1:26" x14ac:dyDescent="0.25">
      <c r="B15" s="46"/>
      <c r="C15" s="58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</row>
    <row r="16" spans="1:26" x14ac:dyDescent="0.25">
      <c r="B16" s="46"/>
      <c r="C16" s="58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</row>
    <row r="17" spans="3:3" x14ac:dyDescent="0.25">
      <c r="C17" s="59"/>
    </row>
    <row r="18" spans="3:3" x14ac:dyDescent="0.25">
      <c r="C18" s="59"/>
    </row>
    <row r="19" spans="3:3" x14ac:dyDescent="0.25">
      <c r="C19" s="59"/>
    </row>
    <row r="20" spans="3:3" x14ac:dyDescent="0.25">
      <c r="C20" s="59"/>
    </row>
    <row r="21" spans="3:3" x14ac:dyDescent="0.25">
      <c r="C21" s="47"/>
    </row>
    <row r="22" spans="3:3" x14ac:dyDescent="0.25">
      <c r="C22" s="47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22"/>
  <sheetViews>
    <sheetView workbookViewId="0">
      <selection activeCell="C9" sqref="C9"/>
    </sheetView>
  </sheetViews>
  <sheetFormatPr defaultRowHeight="15.75" x14ac:dyDescent="0.25"/>
  <cols>
    <col min="3" max="3" width="11" bestFit="1" customWidth="1"/>
  </cols>
  <sheetData>
    <row r="1" spans="1:26" x14ac:dyDescent="0.25">
      <c r="A1" t="s">
        <v>485</v>
      </c>
    </row>
    <row r="2" spans="1:26" x14ac:dyDescent="0.25">
      <c r="B2" s="46" t="s">
        <v>139</v>
      </c>
      <c r="C2" s="46" t="s">
        <v>140</v>
      </c>
      <c r="D2" s="46" t="s">
        <v>141</v>
      </c>
      <c r="E2" s="46" t="s">
        <v>142</v>
      </c>
      <c r="F2" s="46" t="s">
        <v>143</v>
      </c>
      <c r="G2" s="46" t="s">
        <v>144</v>
      </c>
      <c r="H2" s="46" t="s">
        <v>145</v>
      </c>
      <c r="I2" s="46" t="s">
        <v>146</v>
      </c>
      <c r="J2" s="46" t="s">
        <v>147</v>
      </c>
      <c r="K2" s="46" t="s">
        <v>65</v>
      </c>
      <c r="L2" s="46" t="s">
        <v>148</v>
      </c>
      <c r="M2" s="46" t="s">
        <v>149</v>
      </c>
      <c r="N2" s="46" t="s">
        <v>150</v>
      </c>
      <c r="O2" s="46" t="s">
        <v>151</v>
      </c>
      <c r="P2" s="46" t="s">
        <v>152</v>
      </c>
      <c r="Q2" s="46" t="s">
        <v>153</v>
      </c>
      <c r="R2" s="46" t="s">
        <v>154</v>
      </c>
      <c r="S2" s="46" t="s">
        <v>155</v>
      </c>
      <c r="T2" s="46" t="s">
        <v>156</v>
      </c>
      <c r="U2" s="46" t="s">
        <v>157</v>
      </c>
      <c r="V2" s="46" t="s">
        <v>158</v>
      </c>
      <c r="W2" s="46" t="s">
        <v>159</v>
      </c>
      <c r="X2" s="46" t="s">
        <v>160</v>
      </c>
      <c r="Y2" s="46" t="s">
        <v>161</v>
      </c>
      <c r="Z2" s="46" t="s">
        <v>162</v>
      </c>
    </row>
    <row r="3" spans="1:26" x14ac:dyDescent="0.25">
      <c r="B3" s="46">
        <v>1</v>
      </c>
      <c r="C3" s="46" t="s">
        <v>486</v>
      </c>
      <c r="D3" s="46" t="s">
        <v>487</v>
      </c>
      <c r="E3" s="46" t="s">
        <v>488</v>
      </c>
      <c r="F3" s="46" t="s">
        <v>487</v>
      </c>
      <c r="G3" s="46">
        <v>132</v>
      </c>
      <c r="H3" s="46" t="s">
        <v>113</v>
      </c>
      <c r="I3" s="46"/>
      <c r="J3" s="46">
        <v>9</v>
      </c>
      <c r="K3" s="46" t="s">
        <v>90</v>
      </c>
      <c r="L3" s="46">
        <v>39</v>
      </c>
      <c r="M3" s="46">
        <v>-1</v>
      </c>
      <c r="N3" s="46">
        <v>1135</v>
      </c>
      <c r="O3" s="46">
        <v>1</v>
      </c>
      <c r="P3" s="46" t="s">
        <v>489</v>
      </c>
      <c r="Q3" s="46">
        <v>8</v>
      </c>
      <c r="R3" s="46" t="s">
        <v>163</v>
      </c>
      <c r="S3" s="46" t="s">
        <v>165</v>
      </c>
      <c r="T3" s="46">
        <v>22050</v>
      </c>
      <c r="U3" s="46" t="s">
        <v>184</v>
      </c>
      <c r="V3" s="46" t="s">
        <v>490</v>
      </c>
      <c r="W3" s="46" t="s">
        <v>491</v>
      </c>
      <c r="X3" s="46" t="s">
        <v>188</v>
      </c>
      <c r="Y3" s="46" t="s">
        <v>492</v>
      </c>
      <c r="Z3" s="46" t="s">
        <v>164</v>
      </c>
    </row>
    <row r="4" spans="1:26" x14ac:dyDescent="0.25">
      <c r="B4" s="46">
        <v>2</v>
      </c>
      <c r="C4" s="46" t="s">
        <v>493</v>
      </c>
      <c r="D4" s="46" t="s">
        <v>494</v>
      </c>
      <c r="E4" s="46" t="s">
        <v>495</v>
      </c>
      <c r="F4" s="46" t="s">
        <v>494</v>
      </c>
      <c r="G4" s="46">
        <v>132</v>
      </c>
      <c r="H4" s="46" t="s">
        <v>212</v>
      </c>
      <c r="I4" s="46"/>
      <c r="J4" s="46">
        <v>7</v>
      </c>
      <c r="K4" s="46" t="s">
        <v>96</v>
      </c>
      <c r="L4" s="46">
        <v>39</v>
      </c>
      <c r="M4" s="46">
        <v>0</v>
      </c>
      <c r="N4" s="46">
        <v>1094</v>
      </c>
      <c r="O4" s="46">
        <v>3</v>
      </c>
      <c r="P4" s="46" t="s">
        <v>496</v>
      </c>
      <c r="Q4" s="46">
        <v>5</v>
      </c>
      <c r="R4" s="46" t="s">
        <v>163</v>
      </c>
      <c r="S4" s="46" t="s">
        <v>165</v>
      </c>
      <c r="T4" s="46">
        <v>138600</v>
      </c>
      <c r="U4" s="46">
        <v>1</v>
      </c>
      <c r="V4" s="46" t="s">
        <v>497</v>
      </c>
      <c r="W4" s="46" t="s">
        <v>498</v>
      </c>
      <c r="X4" s="46" t="s">
        <v>183</v>
      </c>
      <c r="Y4" s="46" t="s">
        <v>499</v>
      </c>
      <c r="Z4" s="46" t="s">
        <v>167</v>
      </c>
    </row>
    <row r="5" spans="1:26" x14ac:dyDescent="0.25">
      <c r="B5" s="46">
        <v>3</v>
      </c>
      <c r="C5" s="46" t="s">
        <v>500</v>
      </c>
      <c r="D5" s="46" t="s">
        <v>238</v>
      </c>
      <c r="E5" s="46" t="s">
        <v>239</v>
      </c>
      <c r="F5" s="46" t="s">
        <v>238</v>
      </c>
      <c r="G5" s="46">
        <v>130</v>
      </c>
      <c r="H5" s="46" t="s">
        <v>259</v>
      </c>
      <c r="I5" s="46"/>
      <c r="J5" s="46">
        <v>4</v>
      </c>
      <c r="K5" s="46" t="s">
        <v>98</v>
      </c>
      <c r="L5" s="46">
        <v>37</v>
      </c>
      <c r="M5" s="46">
        <v>-1</v>
      </c>
      <c r="N5" s="46">
        <v>1127</v>
      </c>
      <c r="O5" s="46">
        <v>-2</v>
      </c>
      <c r="P5" s="46" t="s">
        <v>258</v>
      </c>
      <c r="Q5" s="46">
        <v>6</v>
      </c>
      <c r="R5" s="46" t="s">
        <v>163</v>
      </c>
      <c r="S5" s="46" t="s">
        <v>165</v>
      </c>
      <c r="T5" s="46">
        <v>22050</v>
      </c>
      <c r="U5" s="46">
        <v>1</v>
      </c>
      <c r="V5" s="46" t="s">
        <v>174</v>
      </c>
      <c r="W5" s="46" t="s">
        <v>240</v>
      </c>
      <c r="X5" s="46" t="s">
        <v>241</v>
      </c>
      <c r="Y5" s="46" t="s">
        <v>242</v>
      </c>
      <c r="Z5" s="46" t="s">
        <v>164</v>
      </c>
    </row>
    <row r="6" spans="1:26" x14ac:dyDescent="0.25">
      <c r="B6" s="46">
        <v>4</v>
      </c>
      <c r="C6" s="46" t="s">
        <v>501</v>
      </c>
      <c r="D6" s="46" t="s">
        <v>254</v>
      </c>
      <c r="E6" s="46" t="s">
        <v>255</v>
      </c>
      <c r="F6" s="46" t="s">
        <v>254</v>
      </c>
      <c r="G6" s="46">
        <v>129</v>
      </c>
      <c r="H6" s="46" t="s">
        <v>119</v>
      </c>
      <c r="I6" s="46"/>
      <c r="J6" s="46">
        <v>8</v>
      </c>
      <c r="K6" s="46" t="s">
        <v>97</v>
      </c>
      <c r="L6" s="46">
        <v>36</v>
      </c>
      <c r="M6" s="46">
        <v>-2</v>
      </c>
      <c r="N6" s="46">
        <v>1127</v>
      </c>
      <c r="O6" s="46">
        <v>-9</v>
      </c>
      <c r="P6" s="46" t="s">
        <v>502</v>
      </c>
      <c r="Q6" s="46">
        <v>4</v>
      </c>
      <c r="R6" s="46" t="s">
        <v>163</v>
      </c>
      <c r="S6" s="46" t="s">
        <v>165</v>
      </c>
      <c r="T6" s="46">
        <v>29400</v>
      </c>
      <c r="U6" s="46">
        <v>1</v>
      </c>
      <c r="V6" s="46" t="s">
        <v>179</v>
      </c>
      <c r="W6" s="46" t="s">
        <v>256</v>
      </c>
      <c r="X6" s="46" t="s">
        <v>186</v>
      </c>
      <c r="Y6" s="46" t="s">
        <v>257</v>
      </c>
      <c r="Z6" s="46" t="s">
        <v>177</v>
      </c>
    </row>
    <row r="7" spans="1:26" x14ac:dyDescent="0.25">
      <c r="B7" s="46">
        <v>5</v>
      </c>
      <c r="C7" s="46" t="s">
        <v>503</v>
      </c>
      <c r="D7" s="46" t="s">
        <v>504</v>
      </c>
      <c r="E7" s="46" t="s">
        <v>505</v>
      </c>
      <c r="F7" s="46" t="s">
        <v>504</v>
      </c>
      <c r="G7" s="46">
        <v>127</v>
      </c>
      <c r="H7" s="46" t="s">
        <v>175</v>
      </c>
      <c r="I7" s="46"/>
      <c r="J7" s="46">
        <v>6</v>
      </c>
      <c r="K7" s="46" t="s">
        <v>87</v>
      </c>
      <c r="L7" s="46">
        <v>34</v>
      </c>
      <c r="M7" s="46">
        <v>7</v>
      </c>
      <c r="N7" s="46">
        <v>1208</v>
      </c>
      <c r="O7" s="46">
        <v>28</v>
      </c>
      <c r="P7" s="46" t="s">
        <v>506</v>
      </c>
      <c r="Q7" s="46">
        <v>7</v>
      </c>
      <c r="R7" s="46" t="s">
        <v>163</v>
      </c>
      <c r="S7" s="46" t="s">
        <v>165</v>
      </c>
      <c r="T7" s="46">
        <v>359100</v>
      </c>
      <c r="U7" s="46">
        <v>1</v>
      </c>
      <c r="V7" s="46" t="s">
        <v>507</v>
      </c>
      <c r="W7" s="46" t="s">
        <v>508</v>
      </c>
      <c r="X7" s="46" t="s">
        <v>509</v>
      </c>
      <c r="Y7" s="46" t="s">
        <v>510</v>
      </c>
      <c r="Z7" s="46" t="s">
        <v>164</v>
      </c>
    </row>
    <row r="8" spans="1:26" x14ac:dyDescent="0.25">
      <c r="B8" s="46">
        <v>6</v>
      </c>
      <c r="C8" s="46" t="s">
        <v>511</v>
      </c>
      <c r="D8" s="46" t="s">
        <v>512</v>
      </c>
      <c r="E8" s="46" t="s">
        <v>513</v>
      </c>
      <c r="F8" s="46" t="s">
        <v>512</v>
      </c>
      <c r="G8" s="46">
        <v>123</v>
      </c>
      <c r="H8" s="46" t="s">
        <v>112</v>
      </c>
      <c r="I8" s="46"/>
      <c r="J8" s="46">
        <v>1</v>
      </c>
      <c r="K8" s="46" t="s">
        <v>92</v>
      </c>
      <c r="L8" s="46">
        <v>30</v>
      </c>
      <c r="M8" s="46">
        <v>-2</v>
      </c>
      <c r="N8" s="46">
        <v>1079</v>
      </c>
      <c r="O8" s="46">
        <v>6</v>
      </c>
      <c r="P8" s="46"/>
      <c r="Q8" s="46">
        <v>4</v>
      </c>
      <c r="R8" s="46" t="s">
        <v>163</v>
      </c>
      <c r="S8" s="46" t="s">
        <v>165</v>
      </c>
      <c r="T8" s="46">
        <v>22050</v>
      </c>
      <c r="U8" s="46">
        <v>1</v>
      </c>
      <c r="V8" s="46" t="s">
        <v>514</v>
      </c>
      <c r="W8" s="46" t="s">
        <v>515</v>
      </c>
      <c r="X8" s="46" t="s">
        <v>516</v>
      </c>
      <c r="Y8" s="46" t="s">
        <v>517</v>
      </c>
      <c r="Z8" s="46" t="s">
        <v>164</v>
      </c>
    </row>
    <row r="9" spans="1:26" x14ac:dyDescent="0.25">
      <c r="B9" s="46">
        <v>7</v>
      </c>
      <c r="C9" s="46" t="s">
        <v>518</v>
      </c>
      <c r="D9" s="46" t="s">
        <v>261</v>
      </c>
      <c r="E9" s="46" t="s">
        <v>262</v>
      </c>
      <c r="F9" s="46" t="s">
        <v>261</v>
      </c>
      <c r="G9" s="46">
        <v>122</v>
      </c>
      <c r="H9" s="46" t="s">
        <v>172</v>
      </c>
      <c r="I9" s="46"/>
      <c r="J9" s="46">
        <v>11</v>
      </c>
      <c r="K9" s="46" t="s">
        <v>88</v>
      </c>
      <c r="L9" s="46">
        <v>29</v>
      </c>
      <c r="M9" s="46">
        <v>8</v>
      </c>
      <c r="N9" s="46">
        <v>1023</v>
      </c>
      <c r="O9" s="46">
        <v>4</v>
      </c>
      <c r="P9" s="46" t="s">
        <v>263</v>
      </c>
      <c r="Q9" s="46">
        <v>6</v>
      </c>
      <c r="R9" s="46" t="s">
        <v>163</v>
      </c>
      <c r="S9" s="46" t="s">
        <v>165</v>
      </c>
      <c r="T9" s="46">
        <v>497700</v>
      </c>
      <c r="U9" s="46">
        <v>1</v>
      </c>
      <c r="V9" s="46" t="s">
        <v>174</v>
      </c>
      <c r="W9" s="46" t="s">
        <v>264</v>
      </c>
      <c r="X9" s="46" t="s">
        <v>187</v>
      </c>
      <c r="Y9" s="46" t="s">
        <v>265</v>
      </c>
      <c r="Z9" s="46" t="s">
        <v>167</v>
      </c>
    </row>
    <row r="10" spans="1:26" x14ac:dyDescent="0.25">
      <c r="B10" s="46">
        <v>8</v>
      </c>
      <c r="C10" s="46" t="s">
        <v>519</v>
      </c>
      <c r="D10" s="46" t="s">
        <v>520</v>
      </c>
      <c r="E10" s="46" t="s">
        <v>521</v>
      </c>
      <c r="F10" s="46" t="s">
        <v>520</v>
      </c>
      <c r="G10" s="46">
        <v>121</v>
      </c>
      <c r="H10" s="46" t="s">
        <v>114</v>
      </c>
      <c r="I10" s="46"/>
      <c r="J10" s="46">
        <v>12</v>
      </c>
      <c r="K10" s="46" t="s">
        <v>103</v>
      </c>
      <c r="L10" s="46">
        <v>28</v>
      </c>
      <c r="M10" s="46">
        <v>0</v>
      </c>
      <c r="N10" s="46">
        <v>1057</v>
      </c>
      <c r="O10" s="46">
        <v>6</v>
      </c>
      <c r="P10" s="46" t="s">
        <v>522</v>
      </c>
      <c r="Q10" s="46">
        <v>7</v>
      </c>
      <c r="R10" s="46" t="s">
        <v>163</v>
      </c>
      <c r="S10" s="46" t="s">
        <v>165</v>
      </c>
      <c r="T10" s="46">
        <v>37800</v>
      </c>
      <c r="U10" s="46">
        <v>1</v>
      </c>
      <c r="V10" s="46" t="s">
        <v>174</v>
      </c>
      <c r="W10" s="46" t="s">
        <v>523</v>
      </c>
      <c r="X10" s="46" t="s">
        <v>524</v>
      </c>
      <c r="Y10" s="46" t="s">
        <v>525</v>
      </c>
      <c r="Z10" s="46" t="s">
        <v>167</v>
      </c>
    </row>
    <row r="11" spans="1:26" x14ac:dyDescent="0.25">
      <c r="B11" s="46">
        <v>9</v>
      </c>
      <c r="C11" s="46" t="s">
        <v>526</v>
      </c>
      <c r="D11" s="46" t="s">
        <v>527</v>
      </c>
      <c r="E11" s="46" t="s">
        <v>528</v>
      </c>
      <c r="F11" s="46" t="s">
        <v>527</v>
      </c>
      <c r="G11" s="46">
        <v>120</v>
      </c>
      <c r="H11" s="46" t="s">
        <v>182</v>
      </c>
      <c r="I11" s="46"/>
      <c r="J11" s="46">
        <v>10</v>
      </c>
      <c r="K11" s="46" t="s">
        <v>91</v>
      </c>
      <c r="L11" s="46">
        <v>27</v>
      </c>
      <c r="M11" s="46">
        <v>-2</v>
      </c>
      <c r="N11" s="46">
        <v>1074</v>
      </c>
      <c r="O11" s="46">
        <v>11</v>
      </c>
      <c r="P11" s="46" t="s">
        <v>529</v>
      </c>
      <c r="Q11" s="46">
        <v>5</v>
      </c>
      <c r="R11" s="46" t="s">
        <v>163</v>
      </c>
      <c r="S11" s="46" t="s">
        <v>165</v>
      </c>
      <c r="T11" s="46">
        <v>0</v>
      </c>
      <c r="U11" s="46">
        <v>1</v>
      </c>
      <c r="V11" s="46" t="s">
        <v>190</v>
      </c>
      <c r="W11" s="46" t="s">
        <v>530</v>
      </c>
      <c r="X11" s="46" t="s">
        <v>219</v>
      </c>
      <c r="Y11" s="46" t="s">
        <v>220</v>
      </c>
      <c r="Z11" s="46" t="s">
        <v>167</v>
      </c>
    </row>
    <row r="12" spans="1:26" x14ac:dyDescent="0.25">
      <c r="B12" s="46">
        <v>10</v>
      </c>
      <c r="C12" s="46" t="s">
        <v>531</v>
      </c>
      <c r="D12" s="46" t="s">
        <v>532</v>
      </c>
      <c r="E12" s="46" t="s">
        <v>533</v>
      </c>
      <c r="F12" s="46" t="s">
        <v>532</v>
      </c>
      <c r="G12" s="46">
        <v>120</v>
      </c>
      <c r="H12" s="46" t="s">
        <v>169</v>
      </c>
      <c r="I12" s="46"/>
      <c r="J12" s="46">
        <v>3</v>
      </c>
      <c r="K12" s="46" t="s">
        <v>108</v>
      </c>
      <c r="L12" s="46">
        <v>27</v>
      </c>
      <c r="M12" s="46">
        <v>-1</v>
      </c>
      <c r="N12" s="46">
        <v>1016</v>
      </c>
      <c r="O12" s="46">
        <v>2</v>
      </c>
      <c r="P12" s="46" t="s">
        <v>534</v>
      </c>
      <c r="Q12" s="46">
        <v>7</v>
      </c>
      <c r="R12" s="46" t="s">
        <v>163</v>
      </c>
      <c r="S12" s="46" t="s">
        <v>165</v>
      </c>
      <c r="T12" s="46">
        <v>22050</v>
      </c>
      <c r="U12" s="46" t="s">
        <v>184</v>
      </c>
      <c r="V12" s="46" t="s">
        <v>166</v>
      </c>
      <c r="W12" s="46" t="s">
        <v>535</v>
      </c>
      <c r="X12" s="46" t="s">
        <v>536</v>
      </c>
      <c r="Y12" s="46" t="s">
        <v>537</v>
      </c>
      <c r="Z12" s="46" t="s">
        <v>164</v>
      </c>
    </row>
    <row r="13" spans="1:26" x14ac:dyDescent="0.25">
      <c r="B13" s="46">
        <v>11</v>
      </c>
      <c r="C13" s="46" t="s">
        <v>538</v>
      </c>
      <c r="D13" s="46" t="s">
        <v>539</v>
      </c>
      <c r="E13" s="46" t="s">
        <v>540</v>
      </c>
      <c r="F13" s="46" t="s">
        <v>539</v>
      </c>
      <c r="G13" s="46">
        <v>119</v>
      </c>
      <c r="H13" s="46" t="s">
        <v>210</v>
      </c>
      <c r="I13" s="46"/>
      <c r="J13" s="46">
        <v>5</v>
      </c>
      <c r="K13" s="46" t="s">
        <v>99</v>
      </c>
      <c r="L13" s="46">
        <v>26</v>
      </c>
      <c r="M13" s="46">
        <v>6</v>
      </c>
      <c r="N13" s="46">
        <v>1111</v>
      </c>
      <c r="O13" s="46">
        <v>10</v>
      </c>
      <c r="P13" s="46" t="s">
        <v>260</v>
      </c>
      <c r="Q13" s="46">
        <v>5</v>
      </c>
      <c r="R13" s="46" t="s">
        <v>163</v>
      </c>
      <c r="S13" s="46" t="s">
        <v>165</v>
      </c>
      <c r="T13" s="46">
        <v>359100</v>
      </c>
      <c r="U13" s="46">
        <v>1</v>
      </c>
      <c r="V13" s="46" t="s">
        <v>541</v>
      </c>
      <c r="W13" s="46" t="s">
        <v>542</v>
      </c>
      <c r="X13" s="46" t="s">
        <v>380</v>
      </c>
      <c r="Y13" s="46" t="s">
        <v>543</v>
      </c>
      <c r="Z13" s="46" t="s">
        <v>167</v>
      </c>
    </row>
    <row r="14" spans="1:26" x14ac:dyDescent="0.25">
      <c r="B14" s="46">
        <v>12</v>
      </c>
      <c r="C14" s="46" t="s">
        <v>544</v>
      </c>
      <c r="D14" s="46" t="s">
        <v>266</v>
      </c>
      <c r="E14" s="46" t="s">
        <v>267</v>
      </c>
      <c r="F14" s="46" t="s">
        <v>266</v>
      </c>
      <c r="G14" s="46">
        <v>113</v>
      </c>
      <c r="H14" s="46" t="s">
        <v>116</v>
      </c>
      <c r="I14" s="46"/>
      <c r="J14" s="46">
        <v>2</v>
      </c>
      <c r="K14" s="46" t="s">
        <v>100</v>
      </c>
      <c r="L14" s="46">
        <v>15</v>
      </c>
      <c r="M14" s="46">
        <v>-3</v>
      </c>
      <c r="N14" s="46">
        <v>1082</v>
      </c>
      <c r="O14" s="46">
        <v>11</v>
      </c>
      <c r="P14" s="46" t="s">
        <v>268</v>
      </c>
      <c r="Q14" s="46">
        <v>5</v>
      </c>
      <c r="R14" s="46" t="s">
        <v>163</v>
      </c>
      <c r="S14" s="46" t="s">
        <v>165</v>
      </c>
      <c r="T14" s="46">
        <v>0</v>
      </c>
      <c r="U14" s="46">
        <v>1</v>
      </c>
      <c r="V14" s="46" t="s">
        <v>545</v>
      </c>
      <c r="W14" s="46" t="s">
        <v>269</v>
      </c>
      <c r="X14" s="46" t="s">
        <v>270</v>
      </c>
      <c r="Y14" s="46" t="s">
        <v>271</v>
      </c>
      <c r="Z14" s="46" t="s">
        <v>167</v>
      </c>
    </row>
    <row r="15" spans="1:26" x14ac:dyDescent="0.25">
      <c r="B15" s="46"/>
      <c r="C15" s="58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</row>
    <row r="16" spans="1:26" x14ac:dyDescent="0.25">
      <c r="C16" s="59"/>
    </row>
    <row r="17" spans="3:3" x14ac:dyDescent="0.25">
      <c r="C17" s="59"/>
    </row>
    <row r="18" spans="3:3" x14ac:dyDescent="0.25">
      <c r="C18" s="59"/>
    </row>
    <row r="19" spans="3:3" x14ac:dyDescent="0.25">
      <c r="C19" s="59"/>
    </row>
    <row r="20" spans="3:3" x14ac:dyDescent="0.25">
      <c r="C20" s="59"/>
    </row>
    <row r="21" spans="3:3" x14ac:dyDescent="0.25">
      <c r="C21" s="47"/>
    </row>
    <row r="22" spans="3:3" x14ac:dyDescent="0.25">
      <c r="C22" s="47"/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22"/>
  <sheetViews>
    <sheetView workbookViewId="0">
      <selection activeCell="C10" sqref="C10"/>
    </sheetView>
  </sheetViews>
  <sheetFormatPr defaultRowHeight="15.75" x14ac:dyDescent="0.25"/>
  <cols>
    <col min="3" max="3" width="10.5703125" customWidth="1"/>
  </cols>
  <sheetData>
    <row r="1" spans="1:26" x14ac:dyDescent="0.25">
      <c r="A1" t="s">
        <v>546</v>
      </c>
    </row>
    <row r="2" spans="1:26" x14ac:dyDescent="0.25">
      <c r="B2" s="46" t="s">
        <v>139</v>
      </c>
      <c r="C2" s="46" t="s">
        <v>140</v>
      </c>
      <c r="D2" s="46" t="s">
        <v>141</v>
      </c>
      <c r="E2" s="46" t="s">
        <v>142</v>
      </c>
      <c r="F2" s="46" t="s">
        <v>143</v>
      </c>
      <c r="G2" s="46" t="s">
        <v>144</v>
      </c>
      <c r="H2" s="46" t="s">
        <v>145</v>
      </c>
      <c r="I2" s="46" t="s">
        <v>146</v>
      </c>
      <c r="J2" s="46" t="s">
        <v>147</v>
      </c>
      <c r="K2" s="46" t="s">
        <v>65</v>
      </c>
      <c r="L2" s="46" t="s">
        <v>148</v>
      </c>
      <c r="M2" s="46" t="s">
        <v>149</v>
      </c>
      <c r="N2" s="46" t="s">
        <v>150</v>
      </c>
      <c r="O2" s="46" t="s">
        <v>151</v>
      </c>
      <c r="P2" s="46" t="s">
        <v>152</v>
      </c>
      <c r="Q2" s="46" t="s">
        <v>153</v>
      </c>
      <c r="R2" s="46" t="s">
        <v>154</v>
      </c>
      <c r="S2" s="46" t="s">
        <v>155</v>
      </c>
      <c r="T2" s="46" t="s">
        <v>156</v>
      </c>
      <c r="U2" s="46" t="s">
        <v>157</v>
      </c>
      <c r="V2" s="46" t="s">
        <v>158</v>
      </c>
      <c r="W2" s="46" t="s">
        <v>159</v>
      </c>
      <c r="X2" s="46" t="s">
        <v>160</v>
      </c>
      <c r="Y2" s="46" t="s">
        <v>161</v>
      </c>
      <c r="Z2" s="46" t="s">
        <v>162</v>
      </c>
    </row>
    <row r="3" spans="1:26" x14ac:dyDescent="0.25">
      <c r="B3" s="46">
        <v>1</v>
      </c>
      <c r="C3" s="46" t="s">
        <v>547</v>
      </c>
      <c r="D3" s="46" t="s">
        <v>548</v>
      </c>
      <c r="E3" s="46" t="s">
        <v>549</v>
      </c>
      <c r="F3" s="46" t="s">
        <v>548</v>
      </c>
      <c r="G3" s="46">
        <v>133</v>
      </c>
      <c r="H3" s="46" t="s">
        <v>135</v>
      </c>
      <c r="I3" s="46"/>
      <c r="J3" s="46">
        <v>2</v>
      </c>
      <c r="K3" s="46" t="s">
        <v>99</v>
      </c>
      <c r="L3" s="46">
        <v>59</v>
      </c>
      <c r="M3" s="46">
        <v>0</v>
      </c>
      <c r="N3" s="46">
        <v>1067</v>
      </c>
      <c r="O3" s="46">
        <v>14</v>
      </c>
      <c r="P3" s="46" t="s">
        <v>550</v>
      </c>
      <c r="Q3" s="46">
        <v>6</v>
      </c>
      <c r="R3" s="46" t="s">
        <v>163</v>
      </c>
      <c r="S3" s="46" t="s">
        <v>165</v>
      </c>
      <c r="T3" s="46">
        <v>0</v>
      </c>
      <c r="U3" s="46">
        <v>1</v>
      </c>
      <c r="V3" s="46" t="s">
        <v>174</v>
      </c>
      <c r="W3" s="46" t="s">
        <v>355</v>
      </c>
      <c r="X3" s="46" t="s">
        <v>551</v>
      </c>
      <c r="Y3" s="46" t="s">
        <v>552</v>
      </c>
      <c r="Z3" s="46" t="s">
        <v>164</v>
      </c>
    </row>
    <row r="4" spans="1:26" x14ac:dyDescent="0.25">
      <c r="B4" s="46">
        <v>2</v>
      </c>
      <c r="C4" s="46" t="s">
        <v>553</v>
      </c>
      <c r="D4" s="46" t="s">
        <v>245</v>
      </c>
      <c r="E4" s="46" t="s">
        <v>246</v>
      </c>
      <c r="F4" s="46" t="s">
        <v>245</v>
      </c>
      <c r="G4" s="46">
        <v>130</v>
      </c>
      <c r="H4" s="46" t="s">
        <v>112</v>
      </c>
      <c r="I4" s="46"/>
      <c r="J4" s="46">
        <v>11</v>
      </c>
      <c r="K4" s="46" t="s">
        <v>98</v>
      </c>
      <c r="L4" s="46">
        <v>56</v>
      </c>
      <c r="M4" s="46">
        <v>-2</v>
      </c>
      <c r="N4" s="46">
        <v>1186</v>
      </c>
      <c r="O4" s="46">
        <v>0</v>
      </c>
      <c r="P4" s="46" t="s">
        <v>247</v>
      </c>
      <c r="Q4" s="46">
        <v>7</v>
      </c>
      <c r="R4" s="46" t="s">
        <v>163</v>
      </c>
      <c r="S4" s="46" t="s">
        <v>165</v>
      </c>
      <c r="T4" s="46">
        <v>0</v>
      </c>
      <c r="U4" s="46">
        <v>1</v>
      </c>
      <c r="V4" s="46" t="s">
        <v>174</v>
      </c>
      <c r="W4" s="46" t="s">
        <v>248</v>
      </c>
      <c r="X4" s="46" t="s">
        <v>249</v>
      </c>
      <c r="Y4" s="46" t="s">
        <v>250</v>
      </c>
      <c r="Z4" s="46" t="s">
        <v>167</v>
      </c>
    </row>
    <row r="5" spans="1:26" x14ac:dyDescent="0.25">
      <c r="B5" s="46">
        <v>3</v>
      </c>
      <c r="C5" s="46" t="s">
        <v>554</v>
      </c>
      <c r="D5" s="46" t="s">
        <v>346</v>
      </c>
      <c r="E5" s="46" t="s">
        <v>347</v>
      </c>
      <c r="F5" s="46" t="s">
        <v>346</v>
      </c>
      <c r="G5" s="46">
        <v>127</v>
      </c>
      <c r="H5" s="46" t="s">
        <v>114</v>
      </c>
      <c r="I5" s="46"/>
      <c r="J5" s="46">
        <v>5</v>
      </c>
      <c r="K5" s="46" t="s">
        <v>93</v>
      </c>
      <c r="L5" s="46">
        <v>53</v>
      </c>
      <c r="M5" s="46">
        <v>-1</v>
      </c>
      <c r="N5" s="46">
        <v>1012</v>
      </c>
      <c r="O5" s="46">
        <v>-1</v>
      </c>
      <c r="P5" s="46" t="s">
        <v>555</v>
      </c>
      <c r="Q5" s="46">
        <v>5</v>
      </c>
      <c r="R5" s="46" t="s">
        <v>163</v>
      </c>
      <c r="S5" s="46" t="s">
        <v>165</v>
      </c>
      <c r="T5" s="46">
        <v>100800</v>
      </c>
      <c r="U5" s="46">
        <v>1</v>
      </c>
      <c r="V5" s="46" t="s">
        <v>166</v>
      </c>
      <c r="W5" s="46" t="s">
        <v>348</v>
      </c>
      <c r="X5" s="46" t="s">
        <v>349</v>
      </c>
      <c r="Y5" s="46" t="s">
        <v>350</v>
      </c>
      <c r="Z5" s="46" t="s">
        <v>164</v>
      </c>
    </row>
    <row r="6" spans="1:26" x14ac:dyDescent="0.25">
      <c r="B6" s="46">
        <v>4</v>
      </c>
      <c r="C6" s="46" t="s">
        <v>556</v>
      </c>
      <c r="D6" s="46" t="s">
        <v>557</v>
      </c>
      <c r="E6" s="46" t="s">
        <v>558</v>
      </c>
      <c r="F6" s="46" t="s">
        <v>557</v>
      </c>
      <c r="G6" s="46">
        <v>127</v>
      </c>
      <c r="H6" s="46" t="s">
        <v>113</v>
      </c>
      <c r="I6" s="46"/>
      <c r="J6" s="46">
        <v>12</v>
      </c>
      <c r="K6" s="46" t="s">
        <v>89</v>
      </c>
      <c r="L6" s="46">
        <v>53</v>
      </c>
      <c r="M6" s="46">
        <v>-2</v>
      </c>
      <c r="N6" s="46">
        <v>1158</v>
      </c>
      <c r="O6" s="46">
        <v>5</v>
      </c>
      <c r="P6" s="46" t="s">
        <v>559</v>
      </c>
      <c r="Q6" s="46">
        <v>4</v>
      </c>
      <c r="R6" s="46" t="s">
        <v>163</v>
      </c>
      <c r="S6" s="46" t="s">
        <v>165</v>
      </c>
      <c r="T6" s="46">
        <v>0</v>
      </c>
      <c r="U6" s="46">
        <v>1</v>
      </c>
      <c r="V6" s="46" t="s">
        <v>560</v>
      </c>
      <c r="W6" s="46" t="s">
        <v>561</v>
      </c>
      <c r="X6" s="46" t="s">
        <v>562</v>
      </c>
      <c r="Y6" s="46" t="s">
        <v>563</v>
      </c>
      <c r="Z6" s="46" t="s">
        <v>164</v>
      </c>
    </row>
    <row r="7" spans="1:26" x14ac:dyDescent="0.25">
      <c r="B7" s="46">
        <v>5</v>
      </c>
      <c r="C7" s="46" t="s">
        <v>564</v>
      </c>
      <c r="D7" s="46" t="s">
        <v>565</v>
      </c>
      <c r="E7" s="46" t="s">
        <v>566</v>
      </c>
      <c r="F7" s="46" t="s">
        <v>565</v>
      </c>
      <c r="G7" s="46">
        <v>125</v>
      </c>
      <c r="H7" s="46" t="s">
        <v>169</v>
      </c>
      <c r="I7" s="46"/>
      <c r="J7" s="46">
        <v>7</v>
      </c>
      <c r="K7" s="46" t="s">
        <v>100</v>
      </c>
      <c r="L7" s="46">
        <v>51</v>
      </c>
      <c r="M7" s="46">
        <v>-2</v>
      </c>
      <c r="N7" s="46">
        <v>1002</v>
      </c>
      <c r="O7" s="46">
        <v>-7</v>
      </c>
      <c r="P7" s="46" t="s">
        <v>567</v>
      </c>
      <c r="Q7" s="46">
        <v>6</v>
      </c>
      <c r="R7" s="46" t="s">
        <v>163</v>
      </c>
      <c r="S7" s="46" t="s">
        <v>165</v>
      </c>
      <c r="T7" s="46">
        <v>0</v>
      </c>
      <c r="U7" s="46">
        <v>1</v>
      </c>
      <c r="V7" s="46" t="s">
        <v>568</v>
      </c>
      <c r="W7" s="46" t="s">
        <v>569</v>
      </c>
      <c r="X7" s="46" t="s">
        <v>570</v>
      </c>
      <c r="Y7" s="46" t="s">
        <v>571</v>
      </c>
      <c r="Z7" s="46" t="s">
        <v>167</v>
      </c>
    </row>
    <row r="8" spans="1:26" x14ac:dyDescent="0.25">
      <c r="B8" s="46">
        <v>6</v>
      </c>
      <c r="C8" s="46" t="s">
        <v>922</v>
      </c>
      <c r="D8" s="46" t="s">
        <v>572</v>
      </c>
      <c r="E8" s="46" t="s">
        <v>573</v>
      </c>
      <c r="F8" s="46" t="s">
        <v>572</v>
      </c>
      <c r="G8" s="46">
        <v>123</v>
      </c>
      <c r="H8" s="46" t="s">
        <v>119</v>
      </c>
      <c r="I8" s="46"/>
      <c r="J8" s="46">
        <v>8</v>
      </c>
      <c r="K8" s="46" t="s">
        <v>91</v>
      </c>
      <c r="L8" s="46">
        <v>49</v>
      </c>
      <c r="M8" s="46">
        <v>-2</v>
      </c>
      <c r="N8" s="46">
        <v>1036</v>
      </c>
      <c r="O8" s="46">
        <v>4</v>
      </c>
      <c r="P8" s="46"/>
      <c r="Q8" s="46">
        <v>4</v>
      </c>
      <c r="R8" s="46" t="s">
        <v>163</v>
      </c>
      <c r="S8" s="46" t="s">
        <v>165</v>
      </c>
      <c r="T8" s="46">
        <v>0</v>
      </c>
      <c r="U8" s="46" t="s">
        <v>184</v>
      </c>
      <c r="V8" s="46" t="s">
        <v>166</v>
      </c>
      <c r="W8" s="46" t="s">
        <v>374</v>
      </c>
      <c r="X8" s="46" t="s">
        <v>283</v>
      </c>
      <c r="Y8" s="46" t="s">
        <v>574</v>
      </c>
      <c r="Z8" s="46" t="s">
        <v>177</v>
      </c>
    </row>
    <row r="9" spans="1:26" x14ac:dyDescent="0.25">
      <c r="B9" s="46">
        <v>7</v>
      </c>
      <c r="C9" s="46" t="s">
        <v>575</v>
      </c>
      <c r="D9" s="46" t="s">
        <v>367</v>
      </c>
      <c r="E9" s="46" t="s">
        <v>368</v>
      </c>
      <c r="F9" s="46" t="s">
        <v>367</v>
      </c>
      <c r="G9" s="46">
        <v>121</v>
      </c>
      <c r="H9" s="46" t="s">
        <v>259</v>
      </c>
      <c r="I9" s="46"/>
      <c r="J9" s="46">
        <v>3</v>
      </c>
      <c r="K9" s="46" t="s">
        <v>106</v>
      </c>
      <c r="L9" s="46">
        <v>47</v>
      </c>
      <c r="M9" s="46">
        <v>-2</v>
      </c>
      <c r="N9" s="46">
        <v>1145</v>
      </c>
      <c r="O9" s="46">
        <v>3</v>
      </c>
      <c r="P9" s="46" t="s">
        <v>576</v>
      </c>
      <c r="Q9" s="46">
        <v>4</v>
      </c>
      <c r="R9" s="46" t="s">
        <v>163</v>
      </c>
      <c r="S9" s="46" t="s">
        <v>165</v>
      </c>
      <c r="T9" s="46">
        <v>29400</v>
      </c>
      <c r="U9" s="46">
        <v>1</v>
      </c>
      <c r="V9" s="46" t="s">
        <v>369</v>
      </c>
      <c r="W9" s="46" t="s">
        <v>370</v>
      </c>
      <c r="X9" s="46" t="s">
        <v>371</v>
      </c>
      <c r="Y9" s="46" t="s">
        <v>372</v>
      </c>
      <c r="Z9" s="46" t="s">
        <v>167</v>
      </c>
    </row>
    <row r="10" spans="1:26" x14ac:dyDescent="0.25">
      <c r="B10" s="46">
        <v>8</v>
      </c>
      <c r="C10" s="46" t="s">
        <v>577</v>
      </c>
      <c r="D10" s="46" t="s">
        <v>578</v>
      </c>
      <c r="E10" s="46" t="s">
        <v>579</v>
      </c>
      <c r="F10" s="46" t="s">
        <v>578</v>
      </c>
      <c r="G10" s="46">
        <v>120</v>
      </c>
      <c r="H10" s="46" t="s">
        <v>182</v>
      </c>
      <c r="I10" s="46"/>
      <c r="J10" s="46">
        <v>9</v>
      </c>
      <c r="K10" s="46" t="s">
        <v>102</v>
      </c>
      <c r="L10" s="46">
        <v>46</v>
      </c>
      <c r="M10" s="46">
        <v>0</v>
      </c>
      <c r="N10" s="46">
        <v>1026</v>
      </c>
      <c r="O10" s="46">
        <v>-5</v>
      </c>
      <c r="P10" s="46" t="s">
        <v>580</v>
      </c>
      <c r="Q10" s="46">
        <v>5</v>
      </c>
      <c r="R10" s="46" t="s">
        <v>163</v>
      </c>
      <c r="S10" s="46" t="s">
        <v>165</v>
      </c>
      <c r="T10" s="46">
        <v>0</v>
      </c>
      <c r="U10" s="46">
        <v>1</v>
      </c>
      <c r="V10" s="46"/>
      <c r="W10" s="46" t="s">
        <v>581</v>
      </c>
      <c r="X10" s="46" t="s">
        <v>582</v>
      </c>
      <c r="Y10" s="46" t="s">
        <v>583</v>
      </c>
      <c r="Z10" s="46" t="s">
        <v>164</v>
      </c>
    </row>
    <row r="11" spans="1:26" x14ac:dyDescent="0.25">
      <c r="B11" s="46">
        <v>9</v>
      </c>
      <c r="C11" s="46" t="s">
        <v>584</v>
      </c>
      <c r="D11" s="46" t="s">
        <v>585</v>
      </c>
      <c r="E11" s="46" t="s">
        <v>586</v>
      </c>
      <c r="F11" s="46" t="s">
        <v>585</v>
      </c>
      <c r="G11" s="46">
        <v>119</v>
      </c>
      <c r="H11" s="46" t="s">
        <v>175</v>
      </c>
      <c r="I11" s="46"/>
      <c r="J11" s="46">
        <v>6</v>
      </c>
      <c r="K11" s="46" t="s">
        <v>94</v>
      </c>
      <c r="L11" s="46">
        <v>45</v>
      </c>
      <c r="M11" s="46">
        <v>6</v>
      </c>
      <c r="N11" s="46">
        <v>1107</v>
      </c>
      <c r="O11" s="46">
        <v>-3</v>
      </c>
      <c r="P11" s="46" t="s">
        <v>275</v>
      </c>
      <c r="Q11" s="46">
        <v>6</v>
      </c>
      <c r="R11" s="46" t="s">
        <v>163</v>
      </c>
      <c r="S11" s="46" t="s">
        <v>165</v>
      </c>
      <c r="T11" s="46">
        <v>431550</v>
      </c>
      <c r="U11" s="46">
        <v>1</v>
      </c>
      <c r="V11" s="46"/>
      <c r="W11" s="46" t="s">
        <v>587</v>
      </c>
      <c r="X11" s="46" t="s">
        <v>373</v>
      </c>
      <c r="Y11" s="46" t="s">
        <v>588</v>
      </c>
      <c r="Z11" s="46" t="s">
        <v>167</v>
      </c>
    </row>
    <row r="12" spans="1:26" x14ac:dyDescent="0.25">
      <c r="B12" s="46">
        <v>10</v>
      </c>
      <c r="C12" s="46" t="s">
        <v>589</v>
      </c>
      <c r="D12" s="46" t="s">
        <v>320</v>
      </c>
      <c r="E12" s="46" t="s">
        <v>321</v>
      </c>
      <c r="F12" s="46" t="s">
        <v>320</v>
      </c>
      <c r="G12" s="46">
        <v>118</v>
      </c>
      <c r="H12" s="46" t="s">
        <v>116</v>
      </c>
      <c r="I12" s="46"/>
      <c r="J12" s="46">
        <v>4</v>
      </c>
      <c r="K12" s="46" t="s">
        <v>92</v>
      </c>
      <c r="L12" s="46">
        <v>44</v>
      </c>
      <c r="M12" s="46">
        <v>-1</v>
      </c>
      <c r="N12" s="46">
        <v>1138</v>
      </c>
      <c r="O12" s="46">
        <v>0</v>
      </c>
      <c r="P12" s="46" t="s">
        <v>322</v>
      </c>
      <c r="Q12" s="46">
        <v>6</v>
      </c>
      <c r="R12" s="46" t="s">
        <v>163</v>
      </c>
      <c r="S12" s="46" t="s">
        <v>165</v>
      </c>
      <c r="T12" s="46">
        <v>96600</v>
      </c>
      <c r="U12" s="46">
        <v>1</v>
      </c>
      <c r="V12" s="46" t="s">
        <v>590</v>
      </c>
      <c r="W12" s="46" t="s">
        <v>323</v>
      </c>
      <c r="X12" s="46" t="s">
        <v>215</v>
      </c>
      <c r="Y12" s="46" t="s">
        <v>324</v>
      </c>
      <c r="Z12" s="46" t="s">
        <v>167</v>
      </c>
    </row>
    <row r="13" spans="1:26" x14ac:dyDescent="0.25">
      <c r="B13" s="46">
        <v>11</v>
      </c>
      <c r="C13" s="46" t="s">
        <v>591</v>
      </c>
      <c r="D13" s="46" t="s">
        <v>325</v>
      </c>
      <c r="E13" s="46" t="s">
        <v>326</v>
      </c>
      <c r="F13" s="46" t="s">
        <v>325</v>
      </c>
      <c r="G13" s="46">
        <v>116</v>
      </c>
      <c r="H13" s="46" t="s">
        <v>217</v>
      </c>
      <c r="I13" s="46"/>
      <c r="J13" s="46">
        <v>10</v>
      </c>
      <c r="K13" s="46" t="s">
        <v>90</v>
      </c>
      <c r="L13" s="46">
        <v>42</v>
      </c>
      <c r="M13" s="46">
        <v>0</v>
      </c>
      <c r="N13" s="46">
        <v>1112</v>
      </c>
      <c r="O13" s="46">
        <v>6</v>
      </c>
      <c r="P13" s="46" t="s">
        <v>592</v>
      </c>
      <c r="Q13" s="46">
        <v>5</v>
      </c>
      <c r="R13" s="46" t="s">
        <v>163</v>
      </c>
      <c r="S13" s="46" t="s">
        <v>165</v>
      </c>
      <c r="T13" s="46">
        <v>50400</v>
      </c>
      <c r="U13" s="46">
        <v>1</v>
      </c>
      <c r="V13" s="46" t="s">
        <v>174</v>
      </c>
      <c r="W13" s="46" t="s">
        <v>223</v>
      </c>
      <c r="X13" s="46" t="s">
        <v>327</v>
      </c>
      <c r="Y13" s="46" t="s">
        <v>328</v>
      </c>
      <c r="Z13" s="46" t="s">
        <v>164</v>
      </c>
    </row>
    <row r="14" spans="1:26" x14ac:dyDescent="0.25">
      <c r="B14" s="46">
        <v>12</v>
      </c>
      <c r="C14" s="46" t="s">
        <v>593</v>
      </c>
      <c r="D14" s="46" t="s">
        <v>279</v>
      </c>
      <c r="E14" s="46" t="s">
        <v>280</v>
      </c>
      <c r="F14" s="46" t="s">
        <v>279</v>
      </c>
      <c r="G14" s="46">
        <v>115</v>
      </c>
      <c r="H14" s="46" t="s">
        <v>210</v>
      </c>
      <c r="I14" s="46"/>
      <c r="J14" s="46">
        <v>1</v>
      </c>
      <c r="K14" s="46" t="s">
        <v>107</v>
      </c>
      <c r="L14" s="46">
        <v>41</v>
      </c>
      <c r="M14" s="46">
        <v>-1</v>
      </c>
      <c r="N14" s="46">
        <v>1183</v>
      </c>
      <c r="O14" s="46">
        <v>-2</v>
      </c>
      <c r="P14" s="46" t="s">
        <v>244</v>
      </c>
      <c r="Q14" s="46">
        <v>6</v>
      </c>
      <c r="R14" s="46" t="s">
        <v>163</v>
      </c>
      <c r="S14" s="46" t="s">
        <v>165</v>
      </c>
      <c r="T14" s="46">
        <v>0</v>
      </c>
      <c r="U14" s="46">
        <v>1</v>
      </c>
      <c r="V14" s="46" t="s">
        <v>358</v>
      </c>
      <c r="W14" s="46" t="s">
        <v>281</v>
      </c>
      <c r="X14" s="46" t="s">
        <v>176</v>
      </c>
      <c r="Y14" s="46" t="s">
        <v>282</v>
      </c>
      <c r="Z14" s="46" t="s">
        <v>167</v>
      </c>
    </row>
    <row r="15" spans="1:26" x14ac:dyDescent="0.25">
      <c r="C15" s="59"/>
    </row>
    <row r="16" spans="1:26" x14ac:dyDescent="0.25">
      <c r="C16" s="59"/>
    </row>
    <row r="17" spans="3:3" x14ac:dyDescent="0.25">
      <c r="C17" s="59"/>
    </row>
    <row r="18" spans="3:3" x14ac:dyDescent="0.25">
      <c r="C18" s="59"/>
    </row>
    <row r="19" spans="3:3" x14ac:dyDescent="0.25">
      <c r="C19" s="59"/>
    </row>
    <row r="20" spans="3:3" x14ac:dyDescent="0.25">
      <c r="C20" s="59"/>
    </row>
    <row r="21" spans="3:3" x14ac:dyDescent="0.25">
      <c r="C21" s="47"/>
    </row>
    <row r="22" spans="3:3" x14ac:dyDescent="0.25">
      <c r="C22" s="47"/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22"/>
  <sheetViews>
    <sheetView workbookViewId="0">
      <selection activeCell="C9" sqref="C9"/>
    </sheetView>
  </sheetViews>
  <sheetFormatPr defaultRowHeight="15.75" x14ac:dyDescent="0.25"/>
  <sheetData>
    <row r="1" spans="1:26" x14ac:dyDescent="0.25">
      <c r="A1" t="s">
        <v>594</v>
      </c>
    </row>
    <row r="2" spans="1:26" x14ac:dyDescent="0.25">
      <c r="B2" s="46" t="s">
        <v>139</v>
      </c>
      <c r="C2" s="46" t="s">
        <v>140</v>
      </c>
      <c r="D2" s="46" t="s">
        <v>141</v>
      </c>
      <c r="E2" s="46" t="s">
        <v>142</v>
      </c>
      <c r="F2" s="46" t="s">
        <v>143</v>
      </c>
      <c r="G2" s="46" t="s">
        <v>144</v>
      </c>
      <c r="H2" s="46" t="s">
        <v>145</v>
      </c>
      <c r="I2" s="46" t="s">
        <v>146</v>
      </c>
      <c r="J2" s="46" t="s">
        <v>147</v>
      </c>
      <c r="K2" s="46" t="s">
        <v>65</v>
      </c>
      <c r="L2" s="46" t="s">
        <v>148</v>
      </c>
      <c r="M2" s="46" t="s">
        <v>149</v>
      </c>
      <c r="N2" s="46" t="s">
        <v>150</v>
      </c>
      <c r="O2" s="46" t="s">
        <v>151</v>
      </c>
      <c r="P2" s="46" t="s">
        <v>152</v>
      </c>
      <c r="Q2" s="46" t="s">
        <v>153</v>
      </c>
      <c r="R2" s="46" t="s">
        <v>154</v>
      </c>
      <c r="S2" s="46" t="s">
        <v>155</v>
      </c>
      <c r="T2" s="46" t="s">
        <v>156</v>
      </c>
      <c r="U2" s="46" t="s">
        <v>157</v>
      </c>
      <c r="V2" s="46" t="s">
        <v>158</v>
      </c>
      <c r="W2" s="46" t="s">
        <v>159</v>
      </c>
      <c r="X2" s="46" t="s">
        <v>160</v>
      </c>
      <c r="Y2" s="46" t="s">
        <v>161</v>
      </c>
      <c r="Z2" s="46" t="s">
        <v>162</v>
      </c>
    </row>
    <row r="3" spans="1:26" x14ac:dyDescent="0.25">
      <c r="B3" s="46">
        <v>1</v>
      </c>
      <c r="C3" s="46" t="s">
        <v>595</v>
      </c>
      <c r="D3" s="46" t="s">
        <v>596</v>
      </c>
      <c r="E3" s="46" t="s">
        <v>597</v>
      </c>
      <c r="F3" s="46" t="s">
        <v>596</v>
      </c>
      <c r="G3" s="46">
        <v>132</v>
      </c>
      <c r="H3" s="46" t="s">
        <v>217</v>
      </c>
      <c r="I3" s="46"/>
      <c r="J3" s="46">
        <v>12</v>
      </c>
      <c r="K3" s="46" t="s">
        <v>104</v>
      </c>
      <c r="L3" s="46">
        <v>59</v>
      </c>
      <c r="M3" s="46">
        <v>-1</v>
      </c>
      <c r="N3" s="46">
        <v>1064</v>
      </c>
      <c r="O3" s="46">
        <v>-9</v>
      </c>
      <c r="P3" s="46" t="s">
        <v>598</v>
      </c>
      <c r="Q3" s="46">
        <v>8</v>
      </c>
      <c r="R3" s="46" t="s">
        <v>163</v>
      </c>
      <c r="S3" s="46" t="s">
        <v>165</v>
      </c>
      <c r="T3" s="46">
        <v>147000</v>
      </c>
      <c r="U3" s="46">
        <v>1</v>
      </c>
      <c r="V3" s="46" t="s">
        <v>166</v>
      </c>
      <c r="W3" s="46" t="s">
        <v>599</v>
      </c>
      <c r="X3" s="46" t="s">
        <v>600</v>
      </c>
      <c r="Y3" s="46" t="s">
        <v>601</v>
      </c>
      <c r="Z3" s="46" t="s">
        <v>164</v>
      </c>
    </row>
    <row r="4" spans="1:26" x14ac:dyDescent="0.25">
      <c r="B4" s="46">
        <v>2</v>
      </c>
      <c r="C4" s="46" t="s">
        <v>602</v>
      </c>
      <c r="D4" s="46" t="s">
        <v>227</v>
      </c>
      <c r="E4" s="46" t="s">
        <v>228</v>
      </c>
      <c r="F4" s="46" t="s">
        <v>227</v>
      </c>
      <c r="G4" s="46">
        <v>128</v>
      </c>
      <c r="H4" s="46" t="s">
        <v>114</v>
      </c>
      <c r="I4" s="46"/>
      <c r="J4" s="46">
        <v>11</v>
      </c>
      <c r="K4" s="46" t="s">
        <v>101</v>
      </c>
      <c r="L4" s="46">
        <v>55</v>
      </c>
      <c r="M4" s="46">
        <v>0</v>
      </c>
      <c r="N4" s="46">
        <v>1176</v>
      </c>
      <c r="O4" s="46">
        <v>5</v>
      </c>
      <c r="P4" s="46" t="s">
        <v>272</v>
      </c>
      <c r="Q4" s="46">
        <v>5</v>
      </c>
      <c r="R4" s="46" t="s">
        <v>163</v>
      </c>
      <c r="S4" s="46" t="s">
        <v>165</v>
      </c>
      <c r="T4" s="46">
        <v>0</v>
      </c>
      <c r="U4" s="46">
        <v>1</v>
      </c>
      <c r="V4" s="46" t="s">
        <v>191</v>
      </c>
      <c r="W4" s="46" t="s">
        <v>229</v>
      </c>
      <c r="X4" s="46" t="s">
        <v>230</v>
      </c>
      <c r="Y4" s="46" t="s">
        <v>231</v>
      </c>
      <c r="Z4" s="46" t="s">
        <v>167</v>
      </c>
    </row>
    <row r="5" spans="1:26" x14ac:dyDescent="0.25">
      <c r="B5" s="46">
        <v>3</v>
      </c>
      <c r="C5" s="46" t="s">
        <v>923</v>
      </c>
      <c r="D5" s="46" t="s">
        <v>603</v>
      </c>
      <c r="E5" s="46" t="s">
        <v>604</v>
      </c>
      <c r="F5" s="46" t="s">
        <v>603</v>
      </c>
      <c r="G5" s="46">
        <v>125</v>
      </c>
      <c r="H5" s="46" t="s">
        <v>113</v>
      </c>
      <c r="I5" s="46"/>
      <c r="J5" s="46">
        <v>1</v>
      </c>
      <c r="K5" s="46" t="s">
        <v>99</v>
      </c>
      <c r="L5" s="46">
        <v>52</v>
      </c>
      <c r="M5" s="46">
        <v>0</v>
      </c>
      <c r="N5" s="46">
        <v>1114</v>
      </c>
      <c r="O5" s="46">
        <v>14</v>
      </c>
      <c r="P5" s="46"/>
      <c r="Q5" s="46">
        <v>4</v>
      </c>
      <c r="R5" s="46" t="s">
        <v>163</v>
      </c>
      <c r="S5" s="46" t="s">
        <v>165</v>
      </c>
      <c r="T5" s="46">
        <v>0</v>
      </c>
      <c r="U5" s="46">
        <v>2</v>
      </c>
      <c r="V5" s="46"/>
      <c r="W5" s="46" t="s">
        <v>605</v>
      </c>
      <c r="X5" s="46" t="s">
        <v>606</v>
      </c>
      <c r="Y5" s="46" t="s">
        <v>607</v>
      </c>
      <c r="Z5" s="46" t="s">
        <v>167</v>
      </c>
    </row>
    <row r="6" spans="1:26" x14ac:dyDescent="0.25">
      <c r="B6" s="46">
        <v>4</v>
      </c>
      <c r="C6" s="46" t="s">
        <v>608</v>
      </c>
      <c r="D6" s="46" t="s">
        <v>359</v>
      </c>
      <c r="E6" s="46" t="s">
        <v>360</v>
      </c>
      <c r="F6" s="46" t="s">
        <v>359</v>
      </c>
      <c r="G6" s="46">
        <v>125</v>
      </c>
      <c r="H6" s="46" t="s">
        <v>119</v>
      </c>
      <c r="I6" s="46"/>
      <c r="J6" s="46">
        <v>4</v>
      </c>
      <c r="K6" s="46" t="s">
        <v>88</v>
      </c>
      <c r="L6" s="46">
        <v>52</v>
      </c>
      <c r="M6" s="46">
        <v>-2</v>
      </c>
      <c r="N6" s="46">
        <v>1086</v>
      </c>
      <c r="O6" s="46">
        <v>9</v>
      </c>
      <c r="P6" s="46" t="s">
        <v>609</v>
      </c>
      <c r="Q6" s="46">
        <v>6</v>
      </c>
      <c r="R6" s="46" t="s">
        <v>163</v>
      </c>
      <c r="S6" s="46" t="s">
        <v>165</v>
      </c>
      <c r="T6" s="46">
        <v>50400</v>
      </c>
      <c r="U6" s="46">
        <v>1</v>
      </c>
      <c r="V6" s="46" t="s">
        <v>179</v>
      </c>
      <c r="W6" s="46" t="s">
        <v>361</v>
      </c>
      <c r="X6" s="46" t="s">
        <v>219</v>
      </c>
      <c r="Y6" s="46" t="s">
        <v>362</v>
      </c>
      <c r="Z6" s="46" t="s">
        <v>167</v>
      </c>
    </row>
    <row r="7" spans="1:26" x14ac:dyDescent="0.25">
      <c r="B7" s="46">
        <v>5</v>
      </c>
      <c r="C7" s="46" t="s">
        <v>610</v>
      </c>
      <c r="D7" s="46" t="s">
        <v>611</v>
      </c>
      <c r="E7" s="46" t="s">
        <v>612</v>
      </c>
      <c r="F7" s="46" t="s">
        <v>611</v>
      </c>
      <c r="G7" s="46">
        <v>125</v>
      </c>
      <c r="H7" s="46" t="s">
        <v>212</v>
      </c>
      <c r="I7" s="46"/>
      <c r="J7" s="46">
        <v>8</v>
      </c>
      <c r="K7" s="46" t="s">
        <v>103</v>
      </c>
      <c r="L7" s="46">
        <v>52</v>
      </c>
      <c r="M7" s="46">
        <v>-2</v>
      </c>
      <c r="N7" s="46">
        <v>1006</v>
      </c>
      <c r="O7" s="46">
        <v>-8</v>
      </c>
      <c r="P7" s="46" t="s">
        <v>592</v>
      </c>
      <c r="Q7" s="46">
        <v>7</v>
      </c>
      <c r="R7" s="46" t="s">
        <v>163</v>
      </c>
      <c r="S7" s="46" t="s">
        <v>165</v>
      </c>
      <c r="T7" s="46">
        <v>0</v>
      </c>
      <c r="U7" s="46" t="s">
        <v>184</v>
      </c>
      <c r="V7" s="46" t="s">
        <v>211</v>
      </c>
      <c r="W7" s="46" t="s">
        <v>613</v>
      </c>
      <c r="X7" s="46" t="s">
        <v>614</v>
      </c>
      <c r="Y7" s="46" t="s">
        <v>615</v>
      </c>
      <c r="Z7" s="46" t="s">
        <v>167</v>
      </c>
    </row>
    <row r="8" spans="1:26" x14ac:dyDescent="0.25">
      <c r="B8" s="46">
        <v>6</v>
      </c>
      <c r="C8" s="46" t="s">
        <v>616</v>
      </c>
      <c r="D8" s="46" t="s">
        <v>617</v>
      </c>
      <c r="E8" s="46" t="s">
        <v>618</v>
      </c>
      <c r="F8" s="46" t="s">
        <v>617</v>
      </c>
      <c r="G8" s="46">
        <v>125</v>
      </c>
      <c r="H8" s="46" t="s">
        <v>123</v>
      </c>
      <c r="I8" s="46"/>
      <c r="J8" s="46">
        <v>9</v>
      </c>
      <c r="K8" s="46" t="s">
        <v>98</v>
      </c>
      <c r="L8" s="46">
        <v>52</v>
      </c>
      <c r="M8" s="46">
        <v>1</v>
      </c>
      <c r="N8" s="46">
        <v>1142</v>
      </c>
      <c r="O8" s="46">
        <v>7</v>
      </c>
      <c r="P8" s="46" t="s">
        <v>619</v>
      </c>
      <c r="Q8" s="46">
        <v>6</v>
      </c>
      <c r="R8" s="46" t="s">
        <v>163</v>
      </c>
      <c r="S8" s="46" t="s">
        <v>165</v>
      </c>
      <c r="T8" s="46">
        <v>184800</v>
      </c>
      <c r="U8" s="46">
        <v>2</v>
      </c>
      <c r="V8" s="46" t="s">
        <v>189</v>
      </c>
      <c r="W8" s="46" t="s">
        <v>620</v>
      </c>
      <c r="X8" s="46" t="s">
        <v>176</v>
      </c>
      <c r="Y8" s="46" t="s">
        <v>621</v>
      </c>
      <c r="Z8" s="46" t="s">
        <v>164</v>
      </c>
    </row>
    <row r="9" spans="1:26" x14ac:dyDescent="0.25">
      <c r="B9" s="46">
        <v>7</v>
      </c>
      <c r="C9" s="46" t="s">
        <v>924</v>
      </c>
      <c r="D9" s="46" t="s">
        <v>622</v>
      </c>
      <c r="E9" s="46" t="s">
        <v>623</v>
      </c>
      <c r="F9" s="46" t="s">
        <v>622</v>
      </c>
      <c r="G9" s="46">
        <v>125</v>
      </c>
      <c r="H9" s="46" t="s">
        <v>112</v>
      </c>
      <c r="I9" s="46"/>
      <c r="J9" s="46">
        <v>2</v>
      </c>
      <c r="K9" s="46" t="s">
        <v>95</v>
      </c>
      <c r="L9" s="46">
        <v>52</v>
      </c>
      <c r="M9" s="46">
        <v>0</v>
      </c>
      <c r="N9" s="46">
        <v>1093</v>
      </c>
      <c r="O9" s="46">
        <v>10</v>
      </c>
      <c r="P9" s="46" t="s">
        <v>624</v>
      </c>
      <c r="Q9" s="46">
        <v>4</v>
      </c>
      <c r="R9" s="46" t="s">
        <v>163</v>
      </c>
      <c r="S9" s="46" t="s">
        <v>165</v>
      </c>
      <c r="T9" s="46">
        <v>0</v>
      </c>
      <c r="U9" s="46">
        <v>1</v>
      </c>
      <c r="V9" s="46"/>
      <c r="W9" s="46" t="s">
        <v>625</v>
      </c>
      <c r="X9" s="46" t="s">
        <v>626</v>
      </c>
      <c r="Y9" s="46" t="s">
        <v>627</v>
      </c>
      <c r="Z9" s="46" t="s">
        <v>167</v>
      </c>
    </row>
    <row r="10" spans="1:26" x14ac:dyDescent="0.25">
      <c r="B10" s="46">
        <v>8</v>
      </c>
      <c r="C10" s="46" t="s">
        <v>628</v>
      </c>
      <c r="D10" s="46" t="s">
        <v>629</v>
      </c>
      <c r="E10" s="46" t="s">
        <v>630</v>
      </c>
      <c r="F10" s="46" t="s">
        <v>629</v>
      </c>
      <c r="G10" s="46">
        <v>123</v>
      </c>
      <c r="H10" s="46" t="s">
        <v>172</v>
      </c>
      <c r="I10" s="46"/>
      <c r="J10" s="46">
        <v>6</v>
      </c>
      <c r="K10" s="46" t="s">
        <v>90</v>
      </c>
      <c r="L10" s="46">
        <v>50</v>
      </c>
      <c r="M10" s="46">
        <v>-2</v>
      </c>
      <c r="N10" s="46">
        <v>1178</v>
      </c>
      <c r="O10" s="46">
        <v>1</v>
      </c>
      <c r="P10" s="46"/>
      <c r="Q10" s="46">
        <v>7</v>
      </c>
      <c r="R10" s="46" t="s">
        <v>163</v>
      </c>
      <c r="S10" s="46" t="s">
        <v>165</v>
      </c>
      <c r="T10" s="46">
        <v>0</v>
      </c>
      <c r="U10" s="46">
        <v>2</v>
      </c>
      <c r="V10" s="46" t="s">
        <v>166</v>
      </c>
      <c r="W10" s="46" t="s">
        <v>631</v>
      </c>
      <c r="X10" s="46" t="s">
        <v>632</v>
      </c>
      <c r="Y10" s="46" t="s">
        <v>633</v>
      </c>
      <c r="Z10" s="46" t="s">
        <v>177</v>
      </c>
    </row>
    <row r="11" spans="1:26" x14ac:dyDescent="0.25">
      <c r="B11" s="46">
        <v>9</v>
      </c>
      <c r="C11" s="46" t="s">
        <v>634</v>
      </c>
      <c r="D11" s="46" t="s">
        <v>273</v>
      </c>
      <c r="E11" s="46" t="s">
        <v>274</v>
      </c>
      <c r="F11" s="46" t="s">
        <v>273</v>
      </c>
      <c r="G11" s="46">
        <v>123</v>
      </c>
      <c r="H11" s="46" t="s">
        <v>126</v>
      </c>
      <c r="I11" s="46"/>
      <c r="J11" s="46">
        <v>7</v>
      </c>
      <c r="K11" s="46" t="s">
        <v>89</v>
      </c>
      <c r="L11" s="46">
        <v>50</v>
      </c>
      <c r="M11" s="46">
        <v>-1</v>
      </c>
      <c r="N11" s="46">
        <v>1097</v>
      </c>
      <c r="O11" s="46">
        <v>3</v>
      </c>
      <c r="P11" s="46" t="s">
        <v>275</v>
      </c>
      <c r="Q11" s="46">
        <v>5</v>
      </c>
      <c r="R11" s="46" t="s">
        <v>163</v>
      </c>
      <c r="S11" s="46" t="s">
        <v>165</v>
      </c>
      <c r="T11" s="46">
        <v>50400</v>
      </c>
      <c r="U11" s="46">
        <v>2</v>
      </c>
      <c r="V11" s="46" t="s">
        <v>179</v>
      </c>
      <c r="W11" s="46" t="s">
        <v>276</v>
      </c>
      <c r="X11" s="46" t="s">
        <v>277</v>
      </c>
      <c r="Y11" s="46" t="s">
        <v>278</v>
      </c>
      <c r="Z11" s="46" t="s">
        <v>164</v>
      </c>
    </row>
    <row r="12" spans="1:26" x14ac:dyDescent="0.25">
      <c r="B12" s="46">
        <v>10</v>
      </c>
      <c r="C12" s="46" t="s">
        <v>635</v>
      </c>
      <c r="D12" s="46" t="s">
        <v>636</v>
      </c>
      <c r="E12" s="46" t="s">
        <v>637</v>
      </c>
      <c r="F12" s="46" t="s">
        <v>636</v>
      </c>
      <c r="G12" s="46">
        <v>120</v>
      </c>
      <c r="H12" s="46" t="s">
        <v>175</v>
      </c>
      <c r="I12" s="46"/>
      <c r="J12" s="46">
        <v>10</v>
      </c>
      <c r="K12" s="46" t="s">
        <v>87</v>
      </c>
      <c r="L12" s="46">
        <v>47</v>
      </c>
      <c r="M12" s="46">
        <v>-2</v>
      </c>
      <c r="N12" s="46">
        <v>1074</v>
      </c>
      <c r="O12" s="46">
        <v>7</v>
      </c>
      <c r="P12" s="46" t="s">
        <v>638</v>
      </c>
      <c r="Q12" s="46">
        <v>6</v>
      </c>
      <c r="R12" s="46" t="s">
        <v>163</v>
      </c>
      <c r="S12" s="46" t="s">
        <v>165</v>
      </c>
      <c r="T12" s="46">
        <v>0</v>
      </c>
      <c r="U12" s="46">
        <v>1</v>
      </c>
      <c r="V12" s="46" t="s">
        <v>170</v>
      </c>
      <c r="W12" s="46" t="s">
        <v>639</v>
      </c>
      <c r="X12" s="46" t="s">
        <v>640</v>
      </c>
      <c r="Y12" s="46" t="s">
        <v>641</v>
      </c>
      <c r="Z12" s="46" t="s">
        <v>167</v>
      </c>
    </row>
    <row r="13" spans="1:26" x14ac:dyDescent="0.25">
      <c r="B13" s="46">
        <v>11</v>
      </c>
      <c r="C13" s="46" t="s">
        <v>642</v>
      </c>
      <c r="D13" s="46" t="s">
        <v>315</v>
      </c>
      <c r="E13" s="46" t="s">
        <v>316</v>
      </c>
      <c r="F13" s="46" t="s">
        <v>315</v>
      </c>
      <c r="G13" s="46">
        <v>116</v>
      </c>
      <c r="H13" s="46" t="s">
        <v>169</v>
      </c>
      <c r="I13" s="46"/>
      <c r="J13" s="46">
        <v>3</v>
      </c>
      <c r="K13" s="46" t="s">
        <v>108</v>
      </c>
      <c r="L13" s="46">
        <v>43</v>
      </c>
      <c r="M13" s="46">
        <v>-2</v>
      </c>
      <c r="N13" s="46">
        <v>1269</v>
      </c>
      <c r="O13" s="46">
        <v>16</v>
      </c>
      <c r="P13" s="46" t="s">
        <v>317</v>
      </c>
      <c r="Q13" s="46">
        <v>5</v>
      </c>
      <c r="R13" s="46" t="s">
        <v>163</v>
      </c>
      <c r="S13" s="46" t="s">
        <v>165</v>
      </c>
      <c r="T13" s="46">
        <v>0</v>
      </c>
      <c r="U13" s="46">
        <v>1</v>
      </c>
      <c r="V13" s="46" t="s">
        <v>179</v>
      </c>
      <c r="W13" s="46" t="s">
        <v>318</v>
      </c>
      <c r="X13" s="46" t="s">
        <v>188</v>
      </c>
      <c r="Y13" s="46" t="s">
        <v>319</v>
      </c>
      <c r="Z13" s="46" t="s">
        <v>167</v>
      </c>
    </row>
    <row r="14" spans="1:26" x14ac:dyDescent="0.25">
      <c r="B14" s="46">
        <v>12</v>
      </c>
      <c r="C14" s="46" t="s">
        <v>643</v>
      </c>
      <c r="D14" s="46" t="s">
        <v>644</v>
      </c>
      <c r="E14" s="46" t="s">
        <v>645</v>
      </c>
      <c r="F14" s="46" t="s">
        <v>644</v>
      </c>
      <c r="G14" s="46">
        <v>115</v>
      </c>
      <c r="H14" s="46" t="s">
        <v>135</v>
      </c>
      <c r="I14" s="46"/>
      <c r="J14" s="46">
        <v>5</v>
      </c>
      <c r="K14" s="46" t="s">
        <v>105</v>
      </c>
      <c r="L14" s="46">
        <v>42</v>
      </c>
      <c r="M14" s="46">
        <v>-1</v>
      </c>
      <c r="N14" s="46">
        <v>1040</v>
      </c>
      <c r="O14" s="46">
        <v>9</v>
      </c>
      <c r="P14" s="46" t="s">
        <v>646</v>
      </c>
      <c r="Q14" s="46">
        <v>5</v>
      </c>
      <c r="R14" s="46" t="s">
        <v>163</v>
      </c>
      <c r="S14" s="46" t="s">
        <v>165</v>
      </c>
      <c r="T14" s="46">
        <v>147000</v>
      </c>
      <c r="U14" s="46">
        <v>1</v>
      </c>
      <c r="V14" s="46" t="s">
        <v>174</v>
      </c>
      <c r="W14" s="46" t="s">
        <v>647</v>
      </c>
      <c r="X14" s="46" t="s">
        <v>648</v>
      </c>
      <c r="Y14" s="46" t="s">
        <v>649</v>
      </c>
      <c r="Z14" s="46" t="s">
        <v>164</v>
      </c>
    </row>
    <row r="15" spans="1:26" x14ac:dyDescent="0.25">
      <c r="B15" s="46"/>
      <c r="C15" s="58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</row>
    <row r="16" spans="1:26" x14ac:dyDescent="0.25">
      <c r="B16" s="46"/>
      <c r="C16" s="58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</row>
    <row r="17" spans="3:3" x14ac:dyDescent="0.25">
      <c r="C17" s="59"/>
    </row>
    <row r="18" spans="3:3" x14ac:dyDescent="0.25">
      <c r="C18" s="59"/>
    </row>
    <row r="19" spans="3:3" x14ac:dyDescent="0.25">
      <c r="C19" s="59"/>
    </row>
    <row r="20" spans="3:3" x14ac:dyDescent="0.25">
      <c r="C20" s="59"/>
    </row>
    <row r="21" spans="3:3" x14ac:dyDescent="0.25">
      <c r="C21" s="47"/>
    </row>
    <row r="22" spans="3:3" x14ac:dyDescent="0.25">
      <c r="C22" s="47"/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22"/>
  <sheetViews>
    <sheetView workbookViewId="0">
      <selection activeCell="A9" sqref="A9"/>
    </sheetView>
  </sheetViews>
  <sheetFormatPr defaultRowHeight="15.75" x14ac:dyDescent="0.25"/>
  <sheetData>
    <row r="1" spans="1:26" x14ac:dyDescent="0.25">
      <c r="A1" t="s">
        <v>650</v>
      </c>
    </row>
    <row r="2" spans="1:26" x14ac:dyDescent="0.25">
      <c r="B2" s="46" t="s">
        <v>139</v>
      </c>
      <c r="C2" s="46" t="s">
        <v>140</v>
      </c>
      <c r="D2" s="46" t="s">
        <v>141</v>
      </c>
      <c r="E2" s="46" t="s">
        <v>142</v>
      </c>
      <c r="F2" s="46" t="s">
        <v>143</v>
      </c>
      <c r="G2" s="46" t="s">
        <v>144</v>
      </c>
      <c r="H2" s="46" t="s">
        <v>145</v>
      </c>
      <c r="I2" s="46" t="s">
        <v>146</v>
      </c>
      <c r="J2" s="46" t="s">
        <v>147</v>
      </c>
      <c r="K2" s="46" t="s">
        <v>65</v>
      </c>
      <c r="L2" s="46" t="s">
        <v>148</v>
      </c>
      <c r="M2" s="46" t="s">
        <v>149</v>
      </c>
      <c r="N2" s="46" t="s">
        <v>150</v>
      </c>
      <c r="O2" s="46" t="s">
        <v>151</v>
      </c>
      <c r="P2" s="46" t="s">
        <v>152</v>
      </c>
      <c r="Q2" s="46" t="s">
        <v>153</v>
      </c>
      <c r="R2" s="46" t="s">
        <v>154</v>
      </c>
      <c r="S2" s="46" t="s">
        <v>155</v>
      </c>
      <c r="T2" s="46" t="s">
        <v>156</v>
      </c>
      <c r="U2" s="46" t="s">
        <v>157</v>
      </c>
      <c r="V2" s="46" t="s">
        <v>158</v>
      </c>
      <c r="W2" s="46" t="s">
        <v>159</v>
      </c>
      <c r="X2" s="46" t="s">
        <v>160</v>
      </c>
      <c r="Y2" s="46" t="s">
        <v>161</v>
      </c>
      <c r="Z2" s="46" t="s">
        <v>162</v>
      </c>
    </row>
    <row r="3" spans="1:26" x14ac:dyDescent="0.25">
      <c r="B3" s="46">
        <v>1</v>
      </c>
      <c r="C3" s="46" t="s">
        <v>651</v>
      </c>
      <c r="D3" s="46" t="s">
        <v>652</v>
      </c>
      <c r="E3" s="46" t="s">
        <v>653</v>
      </c>
      <c r="F3" s="46" t="s">
        <v>652</v>
      </c>
      <c r="G3" s="46">
        <v>133</v>
      </c>
      <c r="H3" s="46" t="s">
        <v>175</v>
      </c>
      <c r="I3" s="46"/>
      <c r="J3" s="46">
        <v>2</v>
      </c>
      <c r="K3" s="46" t="s">
        <v>98</v>
      </c>
      <c r="L3" s="46">
        <v>80</v>
      </c>
      <c r="M3" s="46">
        <v>1</v>
      </c>
      <c r="N3" s="46">
        <v>1102</v>
      </c>
      <c r="O3" s="46">
        <v>-3</v>
      </c>
      <c r="P3" s="46" t="s">
        <v>329</v>
      </c>
      <c r="Q3" s="46">
        <v>6</v>
      </c>
      <c r="R3" s="46" t="s">
        <v>163</v>
      </c>
      <c r="S3" s="46" t="s">
        <v>165</v>
      </c>
      <c r="T3" s="46">
        <v>142025</v>
      </c>
      <c r="U3" s="46">
        <v>2</v>
      </c>
      <c r="V3" s="46" t="s">
        <v>174</v>
      </c>
      <c r="W3" s="46" t="s">
        <v>654</v>
      </c>
      <c r="X3" s="46" t="s">
        <v>626</v>
      </c>
      <c r="Y3" s="46" t="s">
        <v>655</v>
      </c>
      <c r="Z3" s="46" t="s">
        <v>164</v>
      </c>
    </row>
    <row r="4" spans="1:26" x14ac:dyDescent="0.25">
      <c r="B4" s="46">
        <v>2</v>
      </c>
      <c r="C4" s="46" t="s">
        <v>656</v>
      </c>
      <c r="D4" s="46" t="s">
        <v>657</v>
      </c>
      <c r="E4" s="46" t="s">
        <v>658</v>
      </c>
      <c r="F4" s="46" t="s">
        <v>657</v>
      </c>
      <c r="G4" s="46">
        <v>128</v>
      </c>
      <c r="H4" s="46" t="s">
        <v>126</v>
      </c>
      <c r="I4" s="46"/>
      <c r="J4" s="46">
        <v>8</v>
      </c>
      <c r="K4" s="46" t="s">
        <v>91</v>
      </c>
      <c r="L4" s="46">
        <v>75</v>
      </c>
      <c r="M4" s="46">
        <v>6</v>
      </c>
      <c r="N4" s="46">
        <v>1009</v>
      </c>
      <c r="O4" s="46">
        <v>7</v>
      </c>
      <c r="P4" s="46" t="s">
        <v>659</v>
      </c>
      <c r="Q4" s="46">
        <v>5</v>
      </c>
      <c r="R4" s="46" t="s">
        <v>163</v>
      </c>
      <c r="S4" s="46" t="s">
        <v>165</v>
      </c>
      <c r="T4" s="46">
        <v>703950</v>
      </c>
      <c r="U4" s="46">
        <v>1</v>
      </c>
      <c r="V4" s="46" t="s">
        <v>166</v>
      </c>
      <c r="W4" s="46" t="s">
        <v>660</v>
      </c>
      <c r="X4" s="46" t="s">
        <v>661</v>
      </c>
      <c r="Y4" s="46" t="s">
        <v>662</v>
      </c>
      <c r="Z4" s="46" t="s">
        <v>164</v>
      </c>
    </row>
    <row r="5" spans="1:26" x14ac:dyDescent="0.25">
      <c r="B5" s="46">
        <v>3</v>
      </c>
      <c r="C5" s="46" t="s">
        <v>163</v>
      </c>
      <c r="D5" s="46" t="s">
        <v>663</v>
      </c>
      <c r="E5" s="46" t="s">
        <v>664</v>
      </c>
      <c r="F5" s="46" t="s">
        <v>663</v>
      </c>
      <c r="G5" s="46">
        <v>124</v>
      </c>
      <c r="H5" s="46" t="s">
        <v>113</v>
      </c>
      <c r="I5" s="46"/>
      <c r="J5" s="46">
        <v>5</v>
      </c>
      <c r="K5" s="46" t="s">
        <v>95</v>
      </c>
      <c r="L5" s="46">
        <v>71</v>
      </c>
      <c r="M5" s="46" t="s">
        <v>163</v>
      </c>
      <c r="N5" s="46">
        <v>1031</v>
      </c>
      <c r="O5" s="46" t="s">
        <v>163</v>
      </c>
      <c r="P5" s="46"/>
      <c r="Q5" s="46">
        <v>3</v>
      </c>
      <c r="R5" s="46" t="s">
        <v>163</v>
      </c>
      <c r="S5" s="46" t="s">
        <v>165</v>
      </c>
      <c r="T5" s="46">
        <v>0</v>
      </c>
      <c r="U5" s="46">
        <v>1</v>
      </c>
      <c r="V5" s="46"/>
      <c r="W5" s="46" t="s">
        <v>665</v>
      </c>
      <c r="X5" s="46" t="s">
        <v>666</v>
      </c>
      <c r="Y5" s="46" t="s">
        <v>667</v>
      </c>
      <c r="Z5" s="46" t="s">
        <v>164</v>
      </c>
    </row>
    <row r="6" spans="1:26" x14ac:dyDescent="0.25">
      <c r="B6" s="46">
        <v>4</v>
      </c>
      <c r="C6" s="46" t="s">
        <v>668</v>
      </c>
      <c r="D6" s="46" t="s">
        <v>669</v>
      </c>
      <c r="E6" s="46" t="s">
        <v>670</v>
      </c>
      <c r="F6" s="46" t="s">
        <v>669</v>
      </c>
      <c r="G6" s="46">
        <v>117</v>
      </c>
      <c r="H6" s="46" t="s">
        <v>114</v>
      </c>
      <c r="I6" s="46">
        <v>1</v>
      </c>
      <c r="J6" s="46">
        <v>1</v>
      </c>
      <c r="K6" s="46" t="s">
        <v>93</v>
      </c>
      <c r="L6" s="46">
        <v>64</v>
      </c>
      <c r="M6" s="46">
        <v>0</v>
      </c>
      <c r="N6" s="46">
        <v>1141</v>
      </c>
      <c r="O6" s="46">
        <v>2</v>
      </c>
      <c r="P6" s="46" t="s">
        <v>671</v>
      </c>
      <c r="Q6" s="46">
        <v>5</v>
      </c>
      <c r="R6" s="46" t="s">
        <v>163</v>
      </c>
      <c r="S6" s="46" t="s">
        <v>165</v>
      </c>
      <c r="T6" s="46">
        <v>0</v>
      </c>
      <c r="U6" s="46" t="s">
        <v>184</v>
      </c>
      <c r="V6" s="46" t="s">
        <v>166</v>
      </c>
      <c r="W6" s="46" t="s">
        <v>672</v>
      </c>
      <c r="X6" s="46" t="s">
        <v>673</v>
      </c>
      <c r="Y6" s="46" t="s">
        <v>674</v>
      </c>
      <c r="Z6" s="46" t="s">
        <v>164</v>
      </c>
    </row>
    <row r="7" spans="1:26" x14ac:dyDescent="0.25">
      <c r="B7" s="46">
        <v>5</v>
      </c>
      <c r="C7" s="46" t="s">
        <v>675</v>
      </c>
      <c r="D7" s="46" t="s">
        <v>676</v>
      </c>
      <c r="E7" s="46" t="s">
        <v>677</v>
      </c>
      <c r="F7" s="46" t="s">
        <v>676</v>
      </c>
      <c r="G7" s="46">
        <v>116</v>
      </c>
      <c r="H7" s="46" t="s">
        <v>182</v>
      </c>
      <c r="I7" s="46">
        <v>1</v>
      </c>
      <c r="J7" s="46">
        <v>6</v>
      </c>
      <c r="K7" s="46" t="s">
        <v>98</v>
      </c>
      <c r="L7" s="46">
        <v>63</v>
      </c>
      <c r="M7" s="46">
        <v>-2</v>
      </c>
      <c r="N7" s="46">
        <v>1176</v>
      </c>
      <c r="O7" s="46">
        <v>-3</v>
      </c>
      <c r="P7" s="46" t="s">
        <v>337</v>
      </c>
      <c r="Q7" s="46">
        <v>7</v>
      </c>
      <c r="R7" s="46" t="s">
        <v>163</v>
      </c>
      <c r="S7" s="46" t="s">
        <v>165</v>
      </c>
      <c r="T7" s="46">
        <v>43225</v>
      </c>
      <c r="U7" s="46">
        <v>1</v>
      </c>
      <c r="V7" s="46" t="s">
        <v>166</v>
      </c>
      <c r="W7" s="46" t="s">
        <v>678</v>
      </c>
      <c r="X7" s="46" t="s">
        <v>679</v>
      </c>
      <c r="Y7" s="46" t="s">
        <v>680</v>
      </c>
      <c r="Z7" s="46" t="s">
        <v>164</v>
      </c>
    </row>
    <row r="8" spans="1:26" x14ac:dyDescent="0.25">
      <c r="B8" s="46">
        <v>6</v>
      </c>
      <c r="C8" s="46" t="s">
        <v>681</v>
      </c>
      <c r="D8" s="46" t="s">
        <v>330</v>
      </c>
      <c r="E8" s="46" t="s">
        <v>331</v>
      </c>
      <c r="F8" s="46" t="s">
        <v>330</v>
      </c>
      <c r="G8" s="46">
        <v>115</v>
      </c>
      <c r="H8" s="46" t="s">
        <v>172</v>
      </c>
      <c r="I8" s="46">
        <v>1</v>
      </c>
      <c r="J8" s="46">
        <v>10</v>
      </c>
      <c r="K8" s="46" t="s">
        <v>88</v>
      </c>
      <c r="L8" s="46">
        <v>62</v>
      </c>
      <c r="M8" s="46">
        <v>0</v>
      </c>
      <c r="N8" s="46">
        <v>1075</v>
      </c>
      <c r="O8" s="46">
        <v>13</v>
      </c>
      <c r="P8" s="46" t="s">
        <v>332</v>
      </c>
      <c r="Q8" s="46">
        <v>8</v>
      </c>
      <c r="R8" s="46" t="s">
        <v>163</v>
      </c>
      <c r="S8" s="46" t="s">
        <v>165</v>
      </c>
      <c r="T8" s="46">
        <v>529200</v>
      </c>
      <c r="U8" s="46">
        <v>1</v>
      </c>
      <c r="V8" s="46" t="s">
        <v>179</v>
      </c>
      <c r="W8" s="46" t="s">
        <v>333</v>
      </c>
      <c r="X8" s="46" t="s">
        <v>226</v>
      </c>
      <c r="Y8" s="46" t="s">
        <v>334</v>
      </c>
      <c r="Z8" s="46" t="s">
        <v>164</v>
      </c>
    </row>
    <row r="9" spans="1:26" x14ac:dyDescent="0.25">
      <c r="B9" s="46">
        <v>7</v>
      </c>
      <c r="C9" s="46" t="s">
        <v>682</v>
      </c>
      <c r="D9" s="46" t="s">
        <v>683</v>
      </c>
      <c r="E9" s="46" t="s">
        <v>684</v>
      </c>
      <c r="F9" s="46" t="s">
        <v>683</v>
      </c>
      <c r="G9" s="46">
        <v>114</v>
      </c>
      <c r="H9" s="46" t="s">
        <v>112</v>
      </c>
      <c r="I9" s="46">
        <v>2</v>
      </c>
      <c r="J9" s="46">
        <v>4</v>
      </c>
      <c r="K9" s="46" t="s">
        <v>92</v>
      </c>
      <c r="L9" s="46">
        <v>61</v>
      </c>
      <c r="M9" s="46">
        <v>1</v>
      </c>
      <c r="N9" s="46">
        <v>1074</v>
      </c>
      <c r="O9" s="46">
        <v>-6</v>
      </c>
      <c r="P9" s="46"/>
      <c r="Q9" s="46">
        <v>5</v>
      </c>
      <c r="R9" s="46" t="s">
        <v>163</v>
      </c>
      <c r="S9" s="46" t="s">
        <v>165</v>
      </c>
      <c r="T9" s="46">
        <v>96600</v>
      </c>
      <c r="U9" s="46">
        <v>1</v>
      </c>
      <c r="V9" s="46" t="s">
        <v>166</v>
      </c>
      <c r="W9" s="46" t="s">
        <v>685</v>
      </c>
      <c r="X9" s="46" t="s">
        <v>686</v>
      </c>
      <c r="Y9" s="46" t="s">
        <v>687</v>
      </c>
      <c r="Z9" s="46" t="s">
        <v>164</v>
      </c>
    </row>
    <row r="10" spans="1:26" x14ac:dyDescent="0.25">
      <c r="B10" s="46">
        <v>8</v>
      </c>
      <c r="C10" s="46" t="s">
        <v>688</v>
      </c>
      <c r="D10" s="46" t="s">
        <v>381</v>
      </c>
      <c r="E10" s="46" t="s">
        <v>382</v>
      </c>
      <c r="F10" s="46" t="s">
        <v>381</v>
      </c>
      <c r="G10" s="46">
        <v>114</v>
      </c>
      <c r="H10" s="46" t="s">
        <v>116</v>
      </c>
      <c r="I10" s="46"/>
      <c r="J10" s="46">
        <v>9</v>
      </c>
      <c r="K10" s="46" t="s">
        <v>98</v>
      </c>
      <c r="L10" s="46">
        <v>61</v>
      </c>
      <c r="M10" s="46">
        <v>-2</v>
      </c>
      <c r="N10" s="46">
        <v>1078</v>
      </c>
      <c r="O10" s="46">
        <v>5</v>
      </c>
      <c r="P10" s="46" t="s">
        <v>383</v>
      </c>
      <c r="Q10" s="46">
        <v>7</v>
      </c>
      <c r="R10" s="46" t="s">
        <v>163</v>
      </c>
      <c r="S10" s="46" t="s">
        <v>165</v>
      </c>
      <c r="T10" s="46">
        <v>0</v>
      </c>
      <c r="U10" s="46">
        <v>3</v>
      </c>
      <c r="V10" s="46" t="s">
        <v>384</v>
      </c>
      <c r="W10" s="46" t="s">
        <v>385</v>
      </c>
      <c r="X10" s="46" t="s">
        <v>310</v>
      </c>
      <c r="Y10" s="46" t="s">
        <v>386</v>
      </c>
      <c r="Z10" s="46" t="s">
        <v>164</v>
      </c>
    </row>
    <row r="11" spans="1:26" x14ac:dyDescent="0.25">
      <c r="B11" s="46">
        <v>9</v>
      </c>
      <c r="C11" s="46" t="s">
        <v>689</v>
      </c>
      <c r="D11" s="46" t="s">
        <v>387</v>
      </c>
      <c r="E11" s="46" t="s">
        <v>388</v>
      </c>
      <c r="F11" s="46" t="s">
        <v>387</v>
      </c>
      <c r="G11" s="46">
        <v>114</v>
      </c>
      <c r="H11" s="46" t="s">
        <v>210</v>
      </c>
      <c r="I11" s="46"/>
      <c r="J11" s="46">
        <v>7</v>
      </c>
      <c r="K11" s="46" t="s">
        <v>87</v>
      </c>
      <c r="L11" s="46">
        <v>61</v>
      </c>
      <c r="M11" s="46">
        <v>0</v>
      </c>
      <c r="N11" s="46">
        <v>1069</v>
      </c>
      <c r="O11" s="46">
        <v>0</v>
      </c>
      <c r="P11" s="46" t="s">
        <v>690</v>
      </c>
      <c r="Q11" s="46">
        <v>5</v>
      </c>
      <c r="R11" s="46" t="s">
        <v>163</v>
      </c>
      <c r="S11" s="46" t="s">
        <v>165</v>
      </c>
      <c r="T11" s="46">
        <v>96600</v>
      </c>
      <c r="U11" s="46">
        <v>1</v>
      </c>
      <c r="V11" s="46"/>
      <c r="W11" s="46" t="s">
        <v>389</v>
      </c>
      <c r="X11" s="46" t="s">
        <v>373</v>
      </c>
      <c r="Y11" s="46" t="s">
        <v>390</v>
      </c>
      <c r="Z11" s="46" t="s">
        <v>164</v>
      </c>
    </row>
    <row r="12" spans="1:26" x14ac:dyDescent="0.25">
      <c r="B12" s="46">
        <v>10</v>
      </c>
      <c r="C12" s="46" t="s">
        <v>691</v>
      </c>
      <c r="D12" s="46" t="s">
        <v>692</v>
      </c>
      <c r="E12" s="46" t="s">
        <v>693</v>
      </c>
      <c r="F12" s="46" t="s">
        <v>692</v>
      </c>
      <c r="G12" s="46">
        <v>114</v>
      </c>
      <c r="H12" s="46" t="s">
        <v>259</v>
      </c>
      <c r="I12" s="46">
        <v>2</v>
      </c>
      <c r="J12" s="46">
        <v>3</v>
      </c>
      <c r="K12" s="46" t="s">
        <v>106</v>
      </c>
      <c r="L12" s="46">
        <v>61</v>
      </c>
      <c r="M12" s="46">
        <v>0</v>
      </c>
      <c r="N12" s="46">
        <v>1101</v>
      </c>
      <c r="O12" s="46">
        <v>-2</v>
      </c>
      <c r="P12" s="46"/>
      <c r="Q12" s="46">
        <v>4</v>
      </c>
      <c r="R12" s="46" t="s">
        <v>163</v>
      </c>
      <c r="S12" s="46" t="s">
        <v>165</v>
      </c>
      <c r="T12" s="46">
        <v>281400</v>
      </c>
      <c r="U12" s="46">
        <v>1</v>
      </c>
      <c r="V12" s="46" t="s">
        <v>384</v>
      </c>
      <c r="W12" s="46" t="s">
        <v>694</v>
      </c>
      <c r="X12" s="46" t="s">
        <v>695</v>
      </c>
      <c r="Y12" s="46" t="s">
        <v>696</v>
      </c>
      <c r="Z12" s="46" t="s">
        <v>167</v>
      </c>
    </row>
    <row r="13" spans="1:26" x14ac:dyDescent="0.25">
      <c r="B13" s="46"/>
      <c r="C13" s="58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</row>
    <row r="14" spans="1:26" x14ac:dyDescent="0.25">
      <c r="B14" s="46"/>
      <c r="C14" s="58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</row>
    <row r="15" spans="1:26" x14ac:dyDescent="0.25">
      <c r="B15" s="46"/>
      <c r="C15" s="58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</row>
    <row r="16" spans="1:26" x14ac:dyDescent="0.25">
      <c r="B16" s="46"/>
      <c r="C16" s="58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</row>
    <row r="17" spans="3:3" x14ac:dyDescent="0.25">
      <c r="C17" s="59"/>
    </row>
    <row r="18" spans="3:3" x14ac:dyDescent="0.25">
      <c r="C18" s="59"/>
    </row>
    <row r="19" spans="3:3" x14ac:dyDescent="0.25">
      <c r="C19" s="59"/>
    </row>
    <row r="20" spans="3:3" x14ac:dyDescent="0.25">
      <c r="C20" s="59"/>
    </row>
    <row r="21" spans="3:3" x14ac:dyDescent="0.25">
      <c r="C21" s="47"/>
    </row>
    <row r="22" spans="3:3" x14ac:dyDescent="0.25">
      <c r="C22" s="47"/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selection activeCell="C3" sqref="C3:C22"/>
    </sheetView>
  </sheetViews>
  <sheetFormatPr defaultRowHeight="15.75" x14ac:dyDescent="0.25"/>
  <sheetData>
    <row r="1" spans="1:26" x14ac:dyDescent="0.25">
      <c r="A1" t="s">
        <v>697</v>
      </c>
    </row>
    <row r="2" spans="1:26" x14ac:dyDescent="0.25">
      <c r="B2" s="46" t="s">
        <v>139</v>
      </c>
      <c r="C2" s="46" t="s">
        <v>140</v>
      </c>
      <c r="D2" s="46" t="s">
        <v>141</v>
      </c>
      <c r="E2" s="46" t="s">
        <v>142</v>
      </c>
      <c r="F2" s="46" t="s">
        <v>143</v>
      </c>
      <c r="G2" s="46" t="s">
        <v>144</v>
      </c>
      <c r="H2" s="46" t="s">
        <v>145</v>
      </c>
      <c r="I2" s="46" t="s">
        <v>146</v>
      </c>
      <c r="J2" s="46" t="s">
        <v>147</v>
      </c>
      <c r="K2" s="46" t="s">
        <v>65</v>
      </c>
      <c r="L2" s="46" t="s">
        <v>148</v>
      </c>
      <c r="M2" s="46" t="s">
        <v>149</v>
      </c>
      <c r="N2" s="46" t="s">
        <v>150</v>
      </c>
      <c r="O2" s="46" t="s">
        <v>151</v>
      </c>
      <c r="P2" s="46" t="s">
        <v>152</v>
      </c>
      <c r="Q2" s="46" t="s">
        <v>153</v>
      </c>
      <c r="R2" s="46" t="s">
        <v>154</v>
      </c>
      <c r="S2" s="46" t="s">
        <v>155</v>
      </c>
      <c r="T2" s="46" t="s">
        <v>156</v>
      </c>
      <c r="U2" s="46" t="s">
        <v>157</v>
      </c>
      <c r="V2" s="46" t="s">
        <v>158</v>
      </c>
      <c r="W2" s="46" t="s">
        <v>159</v>
      </c>
      <c r="X2" s="46" t="s">
        <v>160</v>
      </c>
      <c r="Y2" s="46" t="s">
        <v>161</v>
      </c>
      <c r="Z2" s="46" t="s">
        <v>162</v>
      </c>
    </row>
    <row r="3" spans="1:26" x14ac:dyDescent="0.25">
      <c r="B3" s="46">
        <v>1</v>
      </c>
      <c r="C3" s="46" t="s">
        <v>698</v>
      </c>
      <c r="D3" s="46" t="s">
        <v>699</v>
      </c>
      <c r="E3" s="46" t="s">
        <v>700</v>
      </c>
      <c r="F3" s="46" t="s">
        <v>699</v>
      </c>
      <c r="G3" s="46">
        <v>133</v>
      </c>
      <c r="H3" s="46" t="s">
        <v>123</v>
      </c>
      <c r="I3" s="46"/>
      <c r="J3" s="46">
        <v>10</v>
      </c>
      <c r="K3" s="46" t="s">
        <v>96</v>
      </c>
      <c r="L3" s="46">
        <v>59</v>
      </c>
      <c r="M3" s="46">
        <v>0</v>
      </c>
      <c r="N3" s="46">
        <v>1176</v>
      </c>
      <c r="O3" s="46">
        <v>-17</v>
      </c>
      <c r="P3" s="46" t="s">
        <v>701</v>
      </c>
      <c r="Q3" s="46">
        <v>6</v>
      </c>
      <c r="R3" s="46" t="s">
        <v>163</v>
      </c>
      <c r="S3" s="46" t="s">
        <v>165</v>
      </c>
      <c r="T3" s="46">
        <v>96600</v>
      </c>
      <c r="U3" s="46">
        <v>1</v>
      </c>
      <c r="V3" s="46" t="s">
        <v>702</v>
      </c>
      <c r="W3" s="46" t="s">
        <v>703</v>
      </c>
      <c r="X3" s="46" t="s">
        <v>704</v>
      </c>
      <c r="Y3" s="46" t="s">
        <v>705</v>
      </c>
      <c r="Z3" s="46" t="s">
        <v>164</v>
      </c>
    </row>
    <row r="4" spans="1:26" x14ac:dyDescent="0.25">
      <c r="B4" s="46">
        <v>2</v>
      </c>
      <c r="C4" s="46" t="s">
        <v>706</v>
      </c>
      <c r="D4" s="46" t="s">
        <v>707</v>
      </c>
      <c r="E4" s="46" t="s">
        <v>708</v>
      </c>
      <c r="F4" s="46" t="s">
        <v>707</v>
      </c>
      <c r="G4" s="46">
        <v>130</v>
      </c>
      <c r="H4" s="46" t="s">
        <v>175</v>
      </c>
      <c r="I4" s="46"/>
      <c r="J4" s="46">
        <v>1</v>
      </c>
      <c r="K4" s="46" t="s">
        <v>94</v>
      </c>
      <c r="L4" s="46">
        <v>56</v>
      </c>
      <c r="M4" s="46">
        <v>-1</v>
      </c>
      <c r="N4" s="46">
        <v>1093</v>
      </c>
      <c r="O4" s="46">
        <v>-13</v>
      </c>
      <c r="P4" s="46"/>
      <c r="Q4" s="46">
        <v>4</v>
      </c>
      <c r="R4" s="46" t="s">
        <v>163</v>
      </c>
      <c r="S4" s="46" t="s">
        <v>165</v>
      </c>
      <c r="T4" s="46">
        <v>0</v>
      </c>
      <c r="U4" s="46">
        <v>1</v>
      </c>
      <c r="V4" s="46" t="s">
        <v>419</v>
      </c>
      <c r="W4" s="46" t="s">
        <v>709</v>
      </c>
      <c r="X4" s="46" t="s">
        <v>710</v>
      </c>
      <c r="Y4" s="46" t="s">
        <v>711</v>
      </c>
      <c r="Z4" s="46" t="s">
        <v>167</v>
      </c>
    </row>
    <row r="5" spans="1:26" x14ac:dyDescent="0.25">
      <c r="B5" s="46">
        <v>3</v>
      </c>
      <c r="C5" s="46" t="s">
        <v>712</v>
      </c>
      <c r="D5" s="46" t="s">
        <v>335</v>
      </c>
      <c r="E5" s="46" t="s">
        <v>336</v>
      </c>
      <c r="F5" s="46" t="s">
        <v>335</v>
      </c>
      <c r="G5" s="46">
        <v>129</v>
      </c>
      <c r="H5" s="46" t="s">
        <v>126</v>
      </c>
      <c r="I5" s="46"/>
      <c r="J5" s="46">
        <v>12</v>
      </c>
      <c r="K5" s="46" t="s">
        <v>102</v>
      </c>
      <c r="L5" s="46">
        <v>55</v>
      </c>
      <c r="M5" s="46">
        <v>0</v>
      </c>
      <c r="N5" s="46">
        <v>1107</v>
      </c>
      <c r="O5" s="46">
        <v>-4</v>
      </c>
      <c r="P5" s="46" t="s">
        <v>337</v>
      </c>
      <c r="Q5" s="46">
        <v>6</v>
      </c>
      <c r="R5" s="46" t="s">
        <v>163</v>
      </c>
      <c r="S5" s="46" t="s">
        <v>165</v>
      </c>
      <c r="T5" s="46">
        <v>96600</v>
      </c>
      <c r="U5" s="46">
        <v>1</v>
      </c>
      <c r="V5" s="46" t="s">
        <v>166</v>
      </c>
      <c r="W5" s="46" t="s">
        <v>338</v>
      </c>
      <c r="X5" s="46" t="s">
        <v>214</v>
      </c>
      <c r="Y5" s="46" t="s">
        <v>339</v>
      </c>
      <c r="Z5" s="46" t="s">
        <v>164</v>
      </c>
    </row>
    <row r="6" spans="1:26" x14ac:dyDescent="0.25">
      <c r="B6" s="46">
        <v>4</v>
      </c>
      <c r="C6" s="46" t="s">
        <v>713</v>
      </c>
      <c r="D6" s="46" t="s">
        <v>340</v>
      </c>
      <c r="E6" s="46" t="s">
        <v>341</v>
      </c>
      <c r="F6" s="46" t="s">
        <v>340</v>
      </c>
      <c r="G6" s="46">
        <v>129</v>
      </c>
      <c r="H6" s="46" t="s">
        <v>112</v>
      </c>
      <c r="I6" s="46"/>
      <c r="J6" s="46">
        <v>3</v>
      </c>
      <c r="K6" s="46" t="s">
        <v>91</v>
      </c>
      <c r="L6" s="46">
        <v>55</v>
      </c>
      <c r="M6" s="46">
        <v>0</v>
      </c>
      <c r="N6" s="46">
        <v>1034</v>
      </c>
      <c r="O6" s="46">
        <v>13</v>
      </c>
      <c r="P6" s="46" t="s">
        <v>342</v>
      </c>
      <c r="Q6" s="46">
        <v>4</v>
      </c>
      <c r="R6" s="46" t="s">
        <v>163</v>
      </c>
      <c r="S6" s="46" t="s">
        <v>165</v>
      </c>
      <c r="T6" s="46">
        <v>58800</v>
      </c>
      <c r="U6" s="46">
        <v>1</v>
      </c>
      <c r="V6" s="46" t="s">
        <v>166</v>
      </c>
      <c r="W6" s="46" t="s">
        <v>343</v>
      </c>
      <c r="X6" s="46" t="s">
        <v>344</v>
      </c>
      <c r="Y6" s="46" t="s">
        <v>345</v>
      </c>
      <c r="Z6" s="46" t="s">
        <v>167</v>
      </c>
    </row>
    <row r="7" spans="1:26" x14ac:dyDescent="0.25">
      <c r="B7" s="46">
        <v>5</v>
      </c>
      <c r="C7" s="46" t="s">
        <v>714</v>
      </c>
      <c r="D7" s="46" t="s">
        <v>715</v>
      </c>
      <c r="E7" s="46" t="s">
        <v>716</v>
      </c>
      <c r="F7" s="46" t="s">
        <v>715</v>
      </c>
      <c r="G7" s="46">
        <v>127</v>
      </c>
      <c r="H7" s="46" t="s">
        <v>210</v>
      </c>
      <c r="I7" s="46"/>
      <c r="J7" s="46">
        <v>4</v>
      </c>
      <c r="K7" s="46" t="s">
        <v>100</v>
      </c>
      <c r="L7" s="46">
        <v>53</v>
      </c>
      <c r="M7" s="46">
        <v>-4</v>
      </c>
      <c r="N7" s="46">
        <v>1071</v>
      </c>
      <c r="O7" s="46">
        <v>30</v>
      </c>
      <c r="P7" s="46" t="s">
        <v>717</v>
      </c>
      <c r="Q7" s="46">
        <v>8</v>
      </c>
      <c r="R7" s="46" t="s">
        <v>163</v>
      </c>
      <c r="S7" s="46" t="s">
        <v>165</v>
      </c>
      <c r="T7" s="46">
        <v>0</v>
      </c>
      <c r="U7" s="46" t="s">
        <v>184</v>
      </c>
      <c r="V7" s="46" t="s">
        <v>185</v>
      </c>
      <c r="W7" s="46" t="s">
        <v>718</v>
      </c>
      <c r="X7" s="46" t="s">
        <v>719</v>
      </c>
      <c r="Y7" s="46" t="s">
        <v>720</v>
      </c>
      <c r="Z7" s="46" t="s">
        <v>167</v>
      </c>
    </row>
    <row r="8" spans="1:26" x14ac:dyDescent="0.25">
      <c r="B8" s="46">
        <v>6</v>
      </c>
      <c r="C8" s="46" t="s">
        <v>721</v>
      </c>
      <c r="D8" s="46" t="s">
        <v>722</v>
      </c>
      <c r="E8" s="46" t="s">
        <v>723</v>
      </c>
      <c r="F8" s="46" t="s">
        <v>722</v>
      </c>
      <c r="G8" s="46">
        <v>124</v>
      </c>
      <c r="H8" s="46" t="s">
        <v>172</v>
      </c>
      <c r="I8" s="46"/>
      <c r="J8" s="46">
        <v>9</v>
      </c>
      <c r="K8" s="46" t="s">
        <v>88</v>
      </c>
      <c r="L8" s="46">
        <v>50</v>
      </c>
      <c r="M8" s="46">
        <v>2</v>
      </c>
      <c r="N8" s="46">
        <v>1116</v>
      </c>
      <c r="O8" s="46">
        <v>4</v>
      </c>
      <c r="P8" s="46" t="s">
        <v>724</v>
      </c>
      <c r="Q8" s="46">
        <v>5</v>
      </c>
      <c r="R8" s="46" t="s">
        <v>163</v>
      </c>
      <c r="S8" s="46" t="s">
        <v>165</v>
      </c>
      <c r="T8" s="46">
        <v>184800</v>
      </c>
      <c r="U8" s="46">
        <v>1</v>
      </c>
      <c r="V8" s="46" t="s">
        <v>179</v>
      </c>
      <c r="W8" s="46" t="s">
        <v>725</v>
      </c>
      <c r="X8" s="46" t="s">
        <v>726</v>
      </c>
      <c r="Y8" s="46" t="s">
        <v>727</v>
      </c>
      <c r="Z8" s="46" t="s">
        <v>167</v>
      </c>
    </row>
    <row r="9" spans="1:26" x14ac:dyDescent="0.25">
      <c r="B9" s="46">
        <v>7</v>
      </c>
      <c r="C9" s="46" t="s">
        <v>728</v>
      </c>
      <c r="D9" s="46" t="s">
        <v>363</v>
      </c>
      <c r="E9" s="46" t="s">
        <v>364</v>
      </c>
      <c r="F9" s="46" t="s">
        <v>363</v>
      </c>
      <c r="G9" s="46">
        <v>122</v>
      </c>
      <c r="H9" s="46" t="s">
        <v>259</v>
      </c>
      <c r="I9" s="46"/>
      <c r="J9" s="46">
        <v>2</v>
      </c>
      <c r="K9" s="46" t="s">
        <v>93</v>
      </c>
      <c r="L9" s="46">
        <v>48</v>
      </c>
      <c r="M9" s="46">
        <v>-2</v>
      </c>
      <c r="N9" s="46">
        <v>1030</v>
      </c>
      <c r="O9" s="46">
        <v>-5</v>
      </c>
      <c r="P9" s="46" t="s">
        <v>729</v>
      </c>
      <c r="Q9" s="46">
        <v>3</v>
      </c>
      <c r="R9" s="46" t="s">
        <v>163</v>
      </c>
      <c r="S9" s="46" t="s">
        <v>165</v>
      </c>
      <c r="T9" s="46">
        <v>0</v>
      </c>
      <c r="U9" s="46">
        <v>1</v>
      </c>
      <c r="V9" s="46" t="s">
        <v>189</v>
      </c>
      <c r="W9" s="46" t="s">
        <v>365</v>
      </c>
      <c r="X9" s="46" t="s">
        <v>186</v>
      </c>
      <c r="Y9" s="46" t="s">
        <v>366</v>
      </c>
      <c r="Z9" s="46" t="s">
        <v>167</v>
      </c>
    </row>
    <row r="10" spans="1:26" x14ac:dyDescent="0.25">
      <c r="B10" s="46">
        <v>8</v>
      </c>
      <c r="C10" s="46" t="s">
        <v>730</v>
      </c>
      <c r="D10" s="46" t="s">
        <v>731</v>
      </c>
      <c r="E10" s="46" t="s">
        <v>732</v>
      </c>
      <c r="F10" s="46" t="s">
        <v>731</v>
      </c>
      <c r="G10" s="46">
        <v>122</v>
      </c>
      <c r="H10" s="46" t="s">
        <v>113</v>
      </c>
      <c r="I10" s="46"/>
      <c r="J10" s="46">
        <v>5</v>
      </c>
      <c r="K10" s="46" t="s">
        <v>106</v>
      </c>
      <c r="L10" s="46">
        <v>48</v>
      </c>
      <c r="M10" s="46">
        <v>0</v>
      </c>
      <c r="N10" s="46">
        <v>1036</v>
      </c>
      <c r="O10" s="46">
        <v>-1</v>
      </c>
      <c r="P10" s="46"/>
      <c r="Q10" s="46">
        <v>4</v>
      </c>
      <c r="R10" s="46" t="s">
        <v>163</v>
      </c>
      <c r="S10" s="46" t="s">
        <v>165</v>
      </c>
      <c r="T10" s="46">
        <v>575400</v>
      </c>
      <c r="U10" s="46">
        <v>1</v>
      </c>
      <c r="V10" s="46" t="s">
        <v>166</v>
      </c>
      <c r="W10" s="46" t="s">
        <v>733</v>
      </c>
      <c r="X10" s="46" t="s">
        <v>373</v>
      </c>
      <c r="Y10" s="46" t="s">
        <v>734</v>
      </c>
      <c r="Z10" s="46" t="s">
        <v>164</v>
      </c>
    </row>
    <row r="11" spans="1:26" x14ac:dyDescent="0.25">
      <c r="B11" s="46">
        <v>9</v>
      </c>
      <c r="C11" s="46" t="s">
        <v>735</v>
      </c>
      <c r="D11" s="46" t="s">
        <v>233</v>
      </c>
      <c r="E11" s="46" t="s">
        <v>234</v>
      </c>
      <c r="F11" s="46" t="s">
        <v>233</v>
      </c>
      <c r="G11" s="46">
        <v>121</v>
      </c>
      <c r="H11" s="46" t="s">
        <v>182</v>
      </c>
      <c r="I11" s="46"/>
      <c r="J11" s="46">
        <v>11</v>
      </c>
      <c r="K11" s="46" t="s">
        <v>108</v>
      </c>
      <c r="L11" s="46">
        <v>47</v>
      </c>
      <c r="M11" s="46">
        <v>-2</v>
      </c>
      <c r="N11" s="46">
        <v>1025</v>
      </c>
      <c r="O11" s="46">
        <v>1</v>
      </c>
      <c r="P11" s="46" t="s">
        <v>351</v>
      </c>
      <c r="Q11" s="46">
        <v>6</v>
      </c>
      <c r="R11" s="46" t="s">
        <v>163</v>
      </c>
      <c r="S11" s="46" t="s">
        <v>165</v>
      </c>
      <c r="T11" s="46">
        <v>0</v>
      </c>
      <c r="U11" s="46">
        <v>1</v>
      </c>
      <c r="V11" s="46" t="s">
        <v>352</v>
      </c>
      <c r="W11" s="46" t="s">
        <v>235</v>
      </c>
      <c r="X11" s="46" t="s">
        <v>193</v>
      </c>
      <c r="Y11" s="46" t="s">
        <v>236</v>
      </c>
      <c r="Z11" s="46" t="s">
        <v>164</v>
      </c>
    </row>
    <row r="12" spans="1:26" x14ac:dyDescent="0.25">
      <c r="B12" s="46">
        <v>10</v>
      </c>
      <c r="C12" s="46" t="s">
        <v>736</v>
      </c>
      <c r="D12" s="46" t="s">
        <v>737</v>
      </c>
      <c r="E12" s="46" t="s">
        <v>738</v>
      </c>
      <c r="F12" s="46" t="s">
        <v>737</v>
      </c>
      <c r="G12" s="46">
        <v>120</v>
      </c>
      <c r="H12" s="46" t="s">
        <v>116</v>
      </c>
      <c r="I12" s="46"/>
      <c r="J12" s="46">
        <v>7</v>
      </c>
      <c r="K12" s="46" t="s">
        <v>104</v>
      </c>
      <c r="L12" s="46">
        <v>46</v>
      </c>
      <c r="M12" s="46">
        <v>-2</v>
      </c>
      <c r="N12" s="46">
        <v>1176</v>
      </c>
      <c r="O12" s="46">
        <v>-2</v>
      </c>
      <c r="P12" s="46" t="s">
        <v>739</v>
      </c>
      <c r="Q12" s="46">
        <v>7</v>
      </c>
      <c r="R12" s="46" t="s">
        <v>163</v>
      </c>
      <c r="S12" s="46" t="s">
        <v>165</v>
      </c>
      <c r="T12" s="46">
        <v>0</v>
      </c>
      <c r="U12" s="46">
        <v>1</v>
      </c>
      <c r="V12" s="46" t="s">
        <v>243</v>
      </c>
      <c r="W12" s="46" t="s">
        <v>740</v>
      </c>
      <c r="X12" s="46" t="s">
        <v>356</v>
      </c>
      <c r="Y12" s="46" t="s">
        <v>741</v>
      </c>
      <c r="Z12" s="46" t="s">
        <v>167</v>
      </c>
    </row>
    <row r="13" spans="1:26" x14ac:dyDescent="0.25">
      <c r="B13" s="46">
        <v>11</v>
      </c>
      <c r="C13" s="46" t="s">
        <v>742</v>
      </c>
      <c r="D13" s="46" t="s">
        <v>743</v>
      </c>
      <c r="E13" s="46" t="s">
        <v>744</v>
      </c>
      <c r="F13" s="46" t="s">
        <v>743</v>
      </c>
      <c r="G13" s="46">
        <v>118</v>
      </c>
      <c r="H13" s="46" t="s">
        <v>135</v>
      </c>
      <c r="I13" s="46"/>
      <c r="J13" s="46">
        <v>8</v>
      </c>
      <c r="K13" s="46" t="s">
        <v>97</v>
      </c>
      <c r="L13" s="46">
        <v>44</v>
      </c>
      <c r="M13" s="46">
        <v>-2</v>
      </c>
      <c r="N13" s="46">
        <v>1088</v>
      </c>
      <c r="O13" s="46">
        <v>-2</v>
      </c>
      <c r="P13" s="46" t="s">
        <v>745</v>
      </c>
      <c r="Q13" s="46">
        <v>8</v>
      </c>
      <c r="R13" s="46" t="s">
        <v>163</v>
      </c>
      <c r="S13" s="46" t="s">
        <v>165</v>
      </c>
      <c r="T13" s="46">
        <v>0</v>
      </c>
      <c r="U13" s="46">
        <v>1</v>
      </c>
      <c r="V13" s="46" t="s">
        <v>568</v>
      </c>
      <c r="W13" s="46" t="s">
        <v>746</v>
      </c>
      <c r="X13" s="46" t="s">
        <v>747</v>
      </c>
      <c r="Y13" s="46" t="s">
        <v>748</v>
      </c>
      <c r="Z13" s="46" t="s">
        <v>164</v>
      </c>
    </row>
    <row r="14" spans="1:26" x14ac:dyDescent="0.25">
      <c r="B14" s="46">
        <v>12</v>
      </c>
      <c r="C14" s="46" t="s">
        <v>749</v>
      </c>
      <c r="D14" s="46" t="s">
        <v>750</v>
      </c>
      <c r="E14" s="46" t="s">
        <v>751</v>
      </c>
      <c r="F14" s="46" t="s">
        <v>750</v>
      </c>
      <c r="G14" s="46">
        <v>114</v>
      </c>
      <c r="H14" s="46" t="s">
        <v>169</v>
      </c>
      <c r="I14" s="46"/>
      <c r="J14" s="46">
        <v>6</v>
      </c>
      <c r="K14" s="46" t="s">
        <v>87</v>
      </c>
      <c r="L14" s="46">
        <v>40</v>
      </c>
      <c r="M14" s="46">
        <v>-2</v>
      </c>
      <c r="N14" s="46">
        <v>1170</v>
      </c>
      <c r="O14" s="46">
        <v>14</v>
      </c>
      <c r="P14" s="46" t="s">
        <v>752</v>
      </c>
      <c r="Q14" s="46">
        <v>5</v>
      </c>
      <c r="R14" s="46" t="s">
        <v>163</v>
      </c>
      <c r="S14" s="46" t="s">
        <v>165</v>
      </c>
      <c r="T14" s="46">
        <v>0</v>
      </c>
      <c r="U14" s="46">
        <v>1</v>
      </c>
      <c r="V14" s="46" t="s">
        <v>166</v>
      </c>
      <c r="W14" s="46" t="s">
        <v>753</v>
      </c>
      <c r="X14" s="46" t="s">
        <v>754</v>
      </c>
      <c r="Y14" s="46" t="s">
        <v>755</v>
      </c>
      <c r="Z14" s="46" t="s">
        <v>167</v>
      </c>
    </row>
    <row r="15" spans="1:26" x14ac:dyDescent="0.25">
      <c r="B15" s="46"/>
      <c r="C15" s="58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</row>
    <row r="16" spans="1:26" x14ac:dyDescent="0.25">
      <c r="B16" s="46"/>
      <c r="C16" s="58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</row>
    <row r="17" spans="3:3" x14ac:dyDescent="0.25">
      <c r="C17" s="59"/>
    </row>
    <row r="18" spans="3:3" x14ac:dyDescent="0.25">
      <c r="C18" s="59"/>
    </row>
    <row r="19" spans="3:3" x14ac:dyDescent="0.25">
      <c r="C19" s="59"/>
    </row>
    <row r="20" spans="3:3" x14ac:dyDescent="0.25">
      <c r="C20" s="59"/>
    </row>
    <row r="21" spans="3:3" x14ac:dyDescent="0.25">
      <c r="C21" s="47"/>
    </row>
    <row r="22" spans="3:3" x14ac:dyDescent="0.25">
      <c r="C22" s="47"/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22"/>
  <sheetViews>
    <sheetView workbookViewId="0">
      <selection activeCell="C3" sqref="C3:C22"/>
    </sheetView>
  </sheetViews>
  <sheetFormatPr defaultRowHeight="15.75" x14ac:dyDescent="0.25"/>
  <sheetData>
    <row r="1" spans="1:26" x14ac:dyDescent="0.25">
      <c r="A1" t="s">
        <v>756</v>
      </c>
    </row>
    <row r="2" spans="1:26" x14ac:dyDescent="0.25">
      <c r="B2" s="46" t="s">
        <v>139</v>
      </c>
      <c r="C2" s="46" t="s">
        <v>140</v>
      </c>
      <c r="D2" s="46" t="s">
        <v>141</v>
      </c>
      <c r="E2" s="46" t="s">
        <v>142</v>
      </c>
      <c r="F2" s="46" t="s">
        <v>143</v>
      </c>
      <c r="G2" s="46" t="s">
        <v>144</v>
      </c>
      <c r="H2" s="46" t="s">
        <v>145</v>
      </c>
      <c r="I2" s="46" t="s">
        <v>146</v>
      </c>
      <c r="J2" s="46" t="s">
        <v>147</v>
      </c>
      <c r="K2" s="46" t="s">
        <v>65</v>
      </c>
      <c r="L2" s="46" t="s">
        <v>148</v>
      </c>
      <c r="M2" s="46" t="s">
        <v>149</v>
      </c>
      <c r="N2" s="46" t="s">
        <v>150</v>
      </c>
      <c r="O2" s="46" t="s">
        <v>151</v>
      </c>
      <c r="P2" s="46" t="s">
        <v>152</v>
      </c>
      <c r="Q2" s="46" t="s">
        <v>153</v>
      </c>
      <c r="R2" s="46" t="s">
        <v>154</v>
      </c>
      <c r="S2" s="46" t="s">
        <v>155</v>
      </c>
      <c r="T2" s="46" t="s">
        <v>156</v>
      </c>
      <c r="U2" s="46" t="s">
        <v>157</v>
      </c>
      <c r="V2" s="46" t="s">
        <v>158</v>
      </c>
      <c r="W2" s="46" t="s">
        <v>159</v>
      </c>
      <c r="X2" s="46" t="s">
        <v>160</v>
      </c>
      <c r="Y2" s="46" t="s">
        <v>161</v>
      </c>
      <c r="Z2" s="46" t="s">
        <v>162</v>
      </c>
    </row>
    <row r="3" spans="1:26" x14ac:dyDescent="0.25">
      <c r="B3" s="46">
        <v>1</v>
      </c>
      <c r="C3" s="46" t="s">
        <v>757</v>
      </c>
      <c r="D3" s="46" t="s">
        <v>289</v>
      </c>
      <c r="E3" s="46" t="s">
        <v>290</v>
      </c>
      <c r="F3" s="46" t="s">
        <v>289</v>
      </c>
      <c r="G3" s="46">
        <v>133</v>
      </c>
      <c r="H3" s="46" t="s">
        <v>114</v>
      </c>
      <c r="I3" s="46"/>
      <c r="J3" s="46">
        <v>3</v>
      </c>
      <c r="K3" s="46" t="s">
        <v>93</v>
      </c>
      <c r="L3" s="46">
        <v>80</v>
      </c>
      <c r="M3" s="46">
        <v>5</v>
      </c>
      <c r="N3" s="46">
        <v>1073</v>
      </c>
      <c r="O3" s="46">
        <v>2</v>
      </c>
      <c r="P3" s="46" t="s">
        <v>758</v>
      </c>
      <c r="Q3" s="46">
        <v>4</v>
      </c>
      <c r="R3" s="46" t="s">
        <v>163</v>
      </c>
      <c r="S3" s="46" t="s">
        <v>165</v>
      </c>
      <c r="T3" s="46">
        <v>778050</v>
      </c>
      <c r="U3" s="46">
        <v>1</v>
      </c>
      <c r="V3" s="46" t="s">
        <v>190</v>
      </c>
      <c r="W3" s="46" t="s">
        <v>291</v>
      </c>
      <c r="X3" s="46" t="s">
        <v>186</v>
      </c>
      <c r="Y3" s="46" t="s">
        <v>292</v>
      </c>
      <c r="Z3" s="46" t="s">
        <v>164</v>
      </c>
    </row>
    <row r="4" spans="1:26" x14ac:dyDescent="0.25">
      <c r="B4" s="46">
        <v>2</v>
      </c>
      <c r="C4" s="46" t="s">
        <v>759</v>
      </c>
      <c r="D4" s="46" t="s">
        <v>284</v>
      </c>
      <c r="E4" s="46" t="s">
        <v>285</v>
      </c>
      <c r="F4" s="46" t="s">
        <v>284</v>
      </c>
      <c r="G4" s="46">
        <v>127</v>
      </c>
      <c r="H4" s="46" t="s">
        <v>212</v>
      </c>
      <c r="I4" s="46"/>
      <c r="J4" s="46">
        <v>9</v>
      </c>
      <c r="K4" s="46" t="s">
        <v>103</v>
      </c>
      <c r="L4" s="46">
        <v>74</v>
      </c>
      <c r="M4" s="46">
        <v>-2</v>
      </c>
      <c r="N4" s="46">
        <v>1058</v>
      </c>
      <c r="O4" s="46">
        <v>-2</v>
      </c>
      <c r="P4" s="46" t="s">
        <v>286</v>
      </c>
      <c r="Q4" s="46">
        <v>6</v>
      </c>
      <c r="R4" s="46" t="s">
        <v>163</v>
      </c>
      <c r="S4" s="46" t="s">
        <v>165</v>
      </c>
      <c r="T4" s="46">
        <v>0</v>
      </c>
      <c r="U4" s="46">
        <v>1</v>
      </c>
      <c r="V4" s="46"/>
      <c r="W4" s="46" t="s">
        <v>287</v>
      </c>
      <c r="X4" s="46" t="s">
        <v>180</v>
      </c>
      <c r="Y4" s="46" t="s">
        <v>288</v>
      </c>
      <c r="Z4" s="46" t="s">
        <v>167</v>
      </c>
    </row>
    <row r="5" spans="1:26" x14ac:dyDescent="0.25">
      <c r="B5" s="46">
        <v>3</v>
      </c>
      <c r="C5" s="46" t="s">
        <v>760</v>
      </c>
      <c r="D5" s="46" t="s">
        <v>761</v>
      </c>
      <c r="E5" s="46" t="s">
        <v>762</v>
      </c>
      <c r="F5" s="46" t="s">
        <v>761</v>
      </c>
      <c r="G5" s="46">
        <v>121</v>
      </c>
      <c r="H5" s="46" t="s">
        <v>182</v>
      </c>
      <c r="I5" s="46"/>
      <c r="J5" s="46">
        <v>12</v>
      </c>
      <c r="K5" s="46" t="s">
        <v>91</v>
      </c>
      <c r="L5" s="46">
        <v>68</v>
      </c>
      <c r="M5" s="46">
        <v>-2</v>
      </c>
      <c r="N5" s="46">
        <v>1055</v>
      </c>
      <c r="O5" s="46">
        <v>13</v>
      </c>
      <c r="P5" s="46"/>
      <c r="Q5" s="46">
        <v>4</v>
      </c>
      <c r="R5" s="46" t="s">
        <v>163</v>
      </c>
      <c r="S5" s="46" t="s">
        <v>165</v>
      </c>
      <c r="T5" s="46">
        <v>0</v>
      </c>
      <c r="U5" s="46" t="s">
        <v>222</v>
      </c>
      <c r="V5" s="46" t="s">
        <v>166</v>
      </c>
      <c r="W5" s="46" t="s">
        <v>763</v>
      </c>
      <c r="X5" s="46" t="s">
        <v>764</v>
      </c>
      <c r="Y5" s="46" t="s">
        <v>765</v>
      </c>
      <c r="Z5" s="46" t="s">
        <v>164</v>
      </c>
    </row>
    <row r="6" spans="1:26" x14ac:dyDescent="0.25">
      <c r="B6" s="46">
        <v>4</v>
      </c>
      <c r="C6" s="46" t="s">
        <v>766</v>
      </c>
      <c r="D6" s="46" t="s">
        <v>767</v>
      </c>
      <c r="E6" s="46" t="s">
        <v>768</v>
      </c>
      <c r="F6" s="46" t="s">
        <v>767</v>
      </c>
      <c r="G6" s="46">
        <v>120</v>
      </c>
      <c r="H6" s="46" t="s">
        <v>259</v>
      </c>
      <c r="I6" s="46"/>
      <c r="J6" s="46">
        <v>7</v>
      </c>
      <c r="K6" s="46" t="s">
        <v>87</v>
      </c>
      <c r="L6" s="46">
        <v>67</v>
      </c>
      <c r="M6" s="46">
        <v>-1</v>
      </c>
      <c r="N6" s="46">
        <v>1122</v>
      </c>
      <c r="O6" s="46">
        <v>-2</v>
      </c>
      <c r="P6" s="46" t="s">
        <v>769</v>
      </c>
      <c r="Q6" s="46">
        <v>7</v>
      </c>
      <c r="R6" s="46" t="s">
        <v>163</v>
      </c>
      <c r="S6" s="46" t="s">
        <v>165</v>
      </c>
      <c r="T6" s="46">
        <v>0</v>
      </c>
      <c r="U6" s="46">
        <v>1</v>
      </c>
      <c r="V6" s="46" t="s">
        <v>770</v>
      </c>
      <c r="W6" s="46" t="s">
        <v>508</v>
      </c>
      <c r="X6" s="46" t="s">
        <v>439</v>
      </c>
      <c r="Y6" s="46" t="s">
        <v>771</v>
      </c>
      <c r="Z6" s="46" t="s">
        <v>164</v>
      </c>
    </row>
    <row r="7" spans="1:26" x14ac:dyDescent="0.25">
      <c r="B7" s="46">
        <v>5</v>
      </c>
      <c r="C7" s="46" t="s">
        <v>772</v>
      </c>
      <c r="D7" s="46" t="s">
        <v>773</v>
      </c>
      <c r="E7" s="46" t="s">
        <v>774</v>
      </c>
      <c r="F7" s="46" t="s">
        <v>773</v>
      </c>
      <c r="G7" s="46">
        <v>120</v>
      </c>
      <c r="H7" s="46" t="s">
        <v>210</v>
      </c>
      <c r="I7" s="46"/>
      <c r="J7" s="46">
        <v>6</v>
      </c>
      <c r="K7" s="46" t="s">
        <v>104</v>
      </c>
      <c r="L7" s="46">
        <v>67</v>
      </c>
      <c r="M7" s="46">
        <v>0</v>
      </c>
      <c r="N7" s="46">
        <v>1087</v>
      </c>
      <c r="O7" s="46">
        <v>-10</v>
      </c>
      <c r="P7" s="46" t="s">
        <v>391</v>
      </c>
      <c r="Q7" s="46">
        <v>6</v>
      </c>
      <c r="R7" s="46" t="s">
        <v>163</v>
      </c>
      <c r="S7" s="46" t="s">
        <v>165</v>
      </c>
      <c r="T7" s="46">
        <v>0</v>
      </c>
      <c r="U7" s="46">
        <v>1</v>
      </c>
      <c r="V7" s="46" t="s">
        <v>179</v>
      </c>
      <c r="W7" s="46" t="s">
        <v>775</v>
      </c>
      <c r="X7" s="46" t="s">
        <v>776</v>
      </c>
      <c r="Y7" s="46" t="s">
        <v>777</v>
      </c>
      <c r="Z7" s="46" t="s">
        <v>164</v>
      </c>
    </row>
    <row r="8" spans="1:26" x14ac:dyDescent="0.25">
      <c r="B8" s="46">
        <v>6</v>
      </c>
      <c r="C8" s="46" t="s">
        <v>778</v>
      </c>
      <c r="D8" s="46" t="s">
        <v>779</v>
      </c>
      <c r="E8" s="46" t="s">
        <v>780</v>
      </c>
      <c r="F8" s="46" t="s">
        <v>779</v>
      </c>
      <c r="G8" s="46">
        <v>118</v>
      </c>
      <c r="H8" s="46" t="s">
        <v>135</v>
      </c>
      <c r="I8" s="46"/>
      <c r="J8" s="46">
        <v>2</v>
      </c>
      <c r="K8" s="46" t="s">
        <v>100</v>
      </c>
      <c r="L8" s="46">
        <v>65</v>
      </c>
      <c r="M8" s="46">
        <v>-4</v>
      </c>
      <c r="N8" s="46">
        <v>1060</v>
      </c>
      <c r="O8" s="46">
        <v>-3</v>
      </c>
      <c r="P8" s="46" t="s">
        <v>781</v>
      </c>
      <c r="Q8" s="46">
        <v>8</v>
      </c>
      <c r="R8" s="46" t="s">
        <v>163</v>
      </c>
      <c r="S8" s="46" t="s">
        <v>165</v>
      </c>
      <c r="T8" s="46">
        <v>0</v>
      </c>
      <c r="U8" s="46">
        <v>1</v>
      </c>
      <c r="V8" s="46" t="s">
        <v>171</v>
      </c>
      <c r="W8" s="46" t="s">
        <v>782</v>
      </c>
      <c r="X8" s="46" t="s">
        <v>719</v>
      </c>
      <c r="Y8" s="46" t="s">
        <v>783</v>
      </c>
      <c r="Z8" s="46" t="s">
        <v>164</v>
      </c>
    </row>
    <row r="9" spans="1:26" x14ac:dyDescent="0.25">
      <c r="B9" s="46">
        <v>7</v>
      </c>
      <c r="C9" s="46" t="s">
        <v>784</v>
      </c>
      <c r="D9" s="46" t="s">
        <v>302</v>
      </c>
      <c r="E9" s="46" t="s">
        <v>303</v>
      </c>
      <c r="F9" s="46" t="s">
        <v>302</v>
      </c>
      <c r="G9" s="46">
        <v>117</v>
      </c>
      <c r="H9" s="46" t="s">
        <v>217</v>
      </c>
      <c r="I9" s="46"/>
      <c r="J9" s="46">
        <v>8</v>
      </c>
      <c r="K9" s="46" t="s">
        <v>92</v>
      </c>
      <c r="L9" s="46">
        <v>64</v>
      </c>
      <c r="M9" s="46">
        <v>-2</v>
      </c>
      <c r="N9" s="46">
        <v>1160</v>
      </c>
      <c r="O9" s="46">
        <v>0</v>
      </c>
      <c r="P9" s="46" t="s">
        <v>224</v>
      </c>
      <c r="Q9" s="46">
        <v>6</v>
      </c>
      <c r="R9" s="46" t="s">
        <v>163</v>
      </c>
      <c r="S9" s="46" t="s">
        <v>165</v>
      </c>
      <c r="T9" s="46">
        <v>0</v>
      </c>
      <c r="U9" s="46">
        <v>2</v>
      </c>
      <c r="V9" s="46" t="s">
        <v>179</v>
      </c>
      <c r="W9" s="46" t="s">
        <v>304</v>
      </c>
      <c r="X9" s="46" t="s">
        <v>305</v>
      </c>
      <c r="Y9" s="46" t="s">
        <v>306</v>
      </c>
      <c r="Z9" s="46" t="s">
        <v>164</v>
      </c>
    </row>
    <row r="10" spans="1:26" x14ac:dyDescent="0.25">
      <c r="B10" s="46">
        <v>8</v>
      </c>
      <c r="C10" s="46" t="s">
        <v>785</v>
      </c>
      <c r="D10" s="46" t="s">
        <v>786</v>
      </c>
      <c r="E10" s="46" t="s">
        <v>787</v>
      </c>
      <c r="F10" s="46" t="s">
        <v>786</v>
      </c>
      <c r="G10" s="46">
        <v>117</v>
      </c>
      <c r="H10" s="46" t="s">
        <v>169</v>
      </c>
      <c r="I10" s="46"/>
      <c r="J10" s="46">
        <v>4</v>
      </c>
      <c r="K10" s="46" t="s">
        <v>90</v>
      </c>
      <c r="L10" s="46">
        <v>64</v>
      </c>
      <c r="M10" s="46">
        <v>-2</v>
      </c>
      <c r="N10" s="46">
        <v>1135</v>
      </c>
      <c r="O10" s="46">
        <v>0</v>
      </c>
      <c r="P10" s="46" t="s">
        <v>788</v>
      </c>
      <c r="Q10" s="46">
        <v>6</v>
      </c>
      <c r="R10" s="46" t="s">
        <v>163</v>
      </c>
      <c r="S10" s="46" t="s">
        <v>165</v>
      </c>
      <c r="T10" s="46">
        <v>0</v>
      </c>
      <c r="U10" s="46">
        <v>2</v>
      </c>
      <c r="V10" s="46" t="s">
        <v>181</v>
      </c>
      <c r="W10" s="46" t="s">
        <v>789</v>
      </c>
      <c r="X10" s="46" t="s">
        <v>192</v>
      </c>
      <c r="Y10" s="46" t="s">
        <v>790</v>
      </c>
      <c r="Z10" s="46" t="s">
        <v>167</v>
      </c>
    </row>
    <row r="11" spans="1:26" x14ac:dyDescent="0.25">
      <c r="B11" s="46">
        <v>9</v>
      </c>
      <c r="C11" s="46" t="s">
        <v>791</v>
      </c>
      <c r="D11" s="46" t="s">
        <v>792</v>
      </c>
      <c r="E11" s="46" t="s">
        <v>793</v>
      </c>
      <c r="F11" s="46" t="s">
        <v>792</v>
      </c>
      <c r="G11" s="46">
        <v>117</v>
      </c>
      <c r="H11" s="46" t="s">
        <v>112</v>
      </c>
      <c r="I11" s="46"/>
      <c r="J11" s="46">
        <v>11</v>
      </c>
      <c r="K11" s="46" t="s">
        <v>101</v>
      </c>
      <c r="L11" s="46">
        <v>64</v>
      </c>
      <c r="M11" s="46">
        <v>-1</v>
      </c>
      <c r="N11" s="46">
        <v>1079</v>
      </c>
      <c r="O11" s="46">
        <v>-4</v>
      </c>
      <c r="P11" s="46" t="s">
        <v>794</v>
      </c>
      <c r="Q11" s="46">
        <v>5</v>
      </c>
      <c r="R11" s="46" t="s">
        <v>163</v>
      </c>
      <c r="S11" s="46" t="s">
        <v>165</v>
      </c>
      <c r="T11" s="46">
        <v>0</v>
      </c>
      <c r="U11" s="46">
        <v>1</v>
      </c>
      <c r="V11" s="46" t="s">
        <v>181</v>
      </c>
      <c r="W11" s="46" t="s">
        <v>795</v>
      </c>
      <c r="X11" s="46" t="s">
        <v>313</v>
      </c>
      <c r="Y11" s="46" t="s">
        <v>796</v>
      </c>
      <c r="Z11" s="46" t="s">
        <v>177</v>
      </c>
    </row>
    <row r="12" spans="1:26" x14ac:dyDescent="0.25">
      <c r="B12" s="46">
        <v>10</v>
      </c>
      <c r="C12" s="46" t="s">
        <v>797</v>
      </c>
      <c r="D12" s="46" t="s">
        <v>392</v>
      </c>
      <c r="E12" s="46" t="s">
        <v>393</v>
      </c>
      <c r="F12" s="46" t="s">
        <v>392</v>
      </c>
      <c r="G12" s="46">
        <v>115</v>
      </c>
      <c r="H12" s="46" t="s">
        <v>175</v>
      </c>
      <c r="I12" s="46"/>
      <c r="J12" s="46">
        <v>1</v>
      </c>
      <c r="K12" s="46" t="s">
        <v>88</v>
      </c>
      <c r="L12" s="46">
        <v>62</v>
      </c>
      <c r="M12" s="46">
        <v>1</v>
      </c>
      <c r="N12" s="46">
        <v>1193</v>
      </c>
      <c r="O12" s="46">
        <v>14</v>
      </c>
      <c r="P12" s="46" t="s">
        <v>394</v>
      </c>
      <c r="Q12" s="46">
        <v>4</v>
      </c>
      <c r="R12" s="46" t="s">
        <v>163</v>
      </c>
      <c r="S12" s="46" t="s">
        <v>165</v>
      </c>
      <c r="T12" s="46">
        <v>805625</v>
      </c>
      <c r="U12" s="46">
        <v>1</v>
      </c>
      <c r="V12" s="46"/>
      <c r="W12" s="46" t="s">
        <v>395</v>
      </c>
      <c r="X12" s="46" t="s">
        <v>225</v>
      </c>
      <c r="Y12" s="46" t="s">
        <v>396</v>
      </c>
      <c r="Z12" s="46" t="s">
        <v>167</v>
      </c>
    </row>
    <row r="13" spans="1:26" x14ac:dyDescent="0.25">
      <c r="B13" s="46">
        <v>11</v>
      </c>
      <c r="C13" s="46" t="s">
        <v>798</v>
      </c>
      <c r="D13" s="46" t="s">
        <v>799</v>
      </c>
      <c r="E13" s="46" t="s">
        <v>800</v>
      </c>
      <c r="F13" s="46" t="s">
        <v>799</v>
      </c>
      <c r="G13" s="46">
        <v>114</v>
      </c>
      <c r="H13" s="46" t="s">
        <v>172</v>
      </c>
      <c r="I13" s="46">
        <v>2</v>
      </c>
      <c r="J13" s="46">
        <v>10</v>
      </c>
      <c r="K13" s="46" t="s">
        <v>102</v>
      </c>
      <c r="L13" s="46">
        <v>61</v>
      </c>
      <c r="M13" s="46">
        <v>-5</v>
      </c>
      <c r="N13" s="46">
        <v>1069</v>
      </c>
      <c r="O13" s="46">
        <v>10</v>
      </c>
      <c r="P13" s="46" t="s">
        <v>801</v>
      </c>
      <c r="Q13" s="46">
        <v>4</v>
      </c>
      <c r="R13" s="46" t="s">
        <v>163</v>
      </c>
      <c r="S13" s="46" t="s">
        <v>165</v>
      </c>
      <c r="T13" s="46">
        <v>0</v>
      </c>
      <c r="U13" s="46">
        <v>2</v>
      </c>
      <c r="V13" s="46" t="s">
        <v>189</v>
      </c>
      <c r="W13" s="46" t="s">
        <v>802</v>
      </c>
      <c r="X13" s="46" t="s">
        <v>219</v>
      </c>
      <c r="Y13" s="46" t="s">
        <v>803</v>
      </c>
      <c r="Z13" s="46" t="s">
        <v>164</v>
      </c>
    </row>
    <row r="14" spans="1:26" x14ac:dyDescent="0.25">
      <c r="B14" s="46">
        <v>12</v>
      </c>
      <c r="C14" s="46" t="s">
        <v>925</v>
      </c>
      <c r="D14" s="46" t="s">
        <v>307</v>
      </c>
      <c r="E14" s="46" t="s">
        <v>308</v>
      </c>
      <c r="F14" s="46" t="s">
        <v>307</v>
      </c>
      <c r="G14" s="46">
        <v>114</v>
      </c>
      <c r="H14" s="46" t="s">
        <v>116</v>
      </c>
      <c r="I14" s="46"/>
      <c r="J14" s="46">
        <v>5</v>
      </c>
      <c r="K14" s="46" t="s">
        <v>95</v>
      </c>
      <c r="L14" s="46">
        <v>61</v>
      </c>
      <c r="M14" s="46">
        <v>0</v>
      </c>
      <c r="N14" s="46">
        <v>1100</v>
      </c>
      <c r="O14" s="46">
        <v>-9</v>
      </c>
      <c r="P14" s="46" t="s">
        <v>804</v>
      </c>
      <c r="Q14" s="46">
        <v>3</v>
      </c>
      <c r="R14" s="46" t="s">
        <v>163</v>
      </c>
      <c r="S14" s="46" t="s">
        <v>165</v>
      </c>
      <c r="T14" s="46">
        <v>74100</v>
      </c>
      <c r="U14" s="46">
        <v>1</v>
      </c>
      <c r="V14" s="46"/>
      <c r="W14" s="46" t="s">
        <v>309</v>
      </c>
      <c r="X14" s="46" t="s">
        <v>310</v>
      </c>
      <c r="Y14" s="46" t="s">
        <v>311</v>
      </c>
      <c r="Z14" s="46" t="s">
        <v>164</v>
      </c>
    </row>
    <row r="15" spans="1:26" x14ac:dyDescent="0.25">
      <c r="B15" s="46"/>
      <c r="C15" s="58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</row>
    <row r="16" spans="1:26" x14ac:dyDescent="0.25">
      <c r="B16" s="46"/>
      <c r="C16" s="58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</row>
    <row r="17" spans="3:3" x14ac:dyDescent="0.25">
      <c r="C17" s="59"/>
    </row>
    <row r="18" spans="3:3" x14ac:dyDescent="0.25">
      <c r="C18" s="59"/>
    </row>
    <row r="19" spans="3:3" x14ac:dyDescent="0.25">
      <c r="C19" s="59"/>
    </row>
    <row r="20" spans="3:3" x14ac:dyDescent="0.25">
      <c r="C20" s="59"/>
    </row>
    <row r="21" spans="3:3" x14ac:dyDescent="0.25">
      <c r="C21" s="47"/>
    </row>
    <row r="22" spans="3:3" x14ac:dyDescent="0.25">
      <c r="C22" s="47"/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Z22"/>
  <sheetViews>
    <sheetView workbookViewId="0">
      <selection activeCell="M12" sqref="M12"/>
    </sheetView>
  </sheetViews>
  <sheetFormatPr defaultRowHeight="15.75" x14ac:dyDescent="0.25"/>
  <sheetData>
    <row r="1" spans="1:26" x14ac:dyDescent="0.25">
      <c r="A1" t="s">
        <v>863</v>
      </c>
    </row>
    <row r="2" spans="1:26" x14ac:dyDescent="0.25"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</row>
    <row r="3" spans="1:26" x14ac:dyDescent="0.25">
      <c r="B3" s="46"/>
      <c r="C3" s="58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1:26" x14ac:dyDescent="0.25">
      <c r="B4" s="46"/>
      <c r="C4" s="58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</row>
    <row r="5" spans="1:26" x14ac:dyDescent="0.25">
      <c r="B5" s="46"/>
      <c r="C5" s="58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</row>
    <row r="6" spans="1:26" x14ac:dyDescent="0.25">
      <c r="B6" s="46"/>
      <c r="C6" s="58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</row>
    <row r="7" spans="1:26" x14ac:dyDescent="0.25">
      <c r="B7" s="46"/>
      <c r="C7" s="58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</row>
    <row r="8" spans="1:26" x14ac:dyDescent="0.25">
      <c r="B8" s="46"/>
      <c r="C8" s="58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</row>
    <row r="9" spans="1:26" x14ac:dyDescent="0.25">
      <c r="B9" s="46"/>
      <c r="C9" s="58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</row>
    <row r="10" spans="1:26" x14ac:dyDescent="0.25">
      <c r="B10" s="46"/>
      <c r="C10" s="58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x14ac:dyDescent="0.25">
      <c r="B11" s="46"/>
      <c r="C11" s="58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x14ac:dyDescent="0.25">
      <c r="B12" s="46"/>
      <c r="C12" s="58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</row>
    <row r="13" spans="1:26" x14ac:dyDescent="0.25">
      <c r="B13" s="46"/>
      <c r="C13" s="58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</row>
    <row r="14" spans="1:26" x14ac:dyDescent="0.25">
      <c r="B14" s="46"/>
      <c r="C14" s="58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</row>
    <row r="15" spans="1:26" x14ac:dyDescent="0.25">
      <c r="B15" s="46"/>
      <c r="C15" s="58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</row>
    <row r="16" spans="1:26" x14ac:dyDescent="0.25">
      <c r="B16" s="46"/>
      <c r="C16" s="58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</row>
    <row r="17" spans="3:3" x14ac:dyDescent="0.25">
      <c r="C17" s="59"/>
    </row>
    <row r="18" spans="3:3" x14ac:dyDescent="0.25">
      <c r="C18" s="59"/>
    </row>
    <row r="19" spans="3:3" x14ac:dyDescent="0.25">
      <c r="C19" s="59"/>
    </row>
    <row r="20" spans="3:3" x14ac:dyDescent="0.25">
      <c r="C20" s="59"/>
    </row>
    <row r="21" spans="3:3" x14ac:dyDescent="0.25">
      <c r="C21" s="47"/>
    </row>
    <row r="22" spans="3:3" x14ac:dyDescent="0.25">
      <c r="C22" s="47"/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22"/>
  <sheetViews>
    <sheetView workbookViewId="0">
      <selection activeCell="C3" sqref="C3"/>
    </sheetView>
  </sheetViews>
  <sheetFormatPr defaultRowHeight="15.75" x14ac:dyDescent="0.25"/>
  <sheetData>
    <row r="1" spans="1:26" x14ac:dyDescent="0.25">
      <c r="A1" t="s">
        <v>805</v>
      </c>
    </row>
    <row r="2" spans="1:26" x14ac:dyDescent="0.25">
      <c r="B2" s="46" t="s">
        <v>139</v>
      </c>
      <c r="C2" s="46" t="s">
        <v>140</v>
      </c>
      <c r="D2" s="46" t="s">
        <v>141</v>
      </c>
      <c r="E2" s="46" t="s">
        <v>142</v>
      </c>
      <c r="F2" s="46" t="s">
        <v>143</v>
      </c>
      <c r="G2" s="46" t="s">
        <v>144</v>
      </c>
      <c r="H2" s="46" t="s">
        <v>145</v>
      </c>
      <c r="I2" s="46" t="s">
        <v>146</v>
      </c>
      <c r="J2" s="46" t="s">
        <v>147</v>
      </c>
      <c r="K2" s="46" t="s">
        <v>65</v>
      </c>
      <c r="L2" s="46" t="s">
        <v>148</v>
      </c>
      <c r="M2" s="46" t="s">
        <v>149</v>
      </c>
      <c r="N2" s="46" t="s">
        <v>150</v>
      </c>
      <c r="O2" s="46" t="s">
        <v>151</v>
      </c>
      <c r="P2" s="46" t="s">
        <v>152</v>
      </c>
      <c r="Q2" s="46" t="s">
        <v>153</v>
      </c>
      <c r="R2" s="46" t="s">
        <v>154</v>
      </c>
      <c r="S2" s="46" t="s">
        <v>155</v>
      </c>
      <c r="T2" s="46" t="s">
        <v>156</v>
      </c>
      <c r="U2" s="46" t="s">
        <v>157</v>
      </c>
      <c r="V2" s="46" t="s">
        <v>158</v>
      </c>
      <c r="W2" s="46" t="s">
        <v>159</v>
      </c>
      <c r="X2" s="46" t="s">
        <v>160</v>
      </c>
      <c r="Y2" s="46" t="s">
        <v>161</v>
      </c>
      <c r="Z2" s="46" t="s">
        <v>162</v>
      </c>
    </row>
    <row r="3" spans="1:26" x14ac:dyDescent="0.25">
      <c r="B3" s="46">
        <v>1</v>
      </c>
      <c r="C3" s="46" t="s">
        <v>806</v>
      </c>
      <c r="D3" s="46" t="s">
        <v>807</v>
      </c>
      <c r="E3" s="46" t="s">
        <v>808</v>
      </c>
      <c r="F3" s="46" t="s">
        <v>807</v>
      </c>
      <c r="G3" s="46">
        <v>127</v>
      </c>
      <c r="H3" s="46" t="s">
        <v>113</v>
      </c>
      <c r="I3" s="46"/>
      <c r="J3" s="46">
        <v>8</v>
      </c>
      <c r="K3" s="46" t="s">
        <v>92</v>
      </c>
      <c r="L3" s="46">
        <v>74</v>
      </c>
      <c r="M3" s="46">
        <v>2</v>
      </c>
      <c r="N3" s="46">
        <v>1103</v>
      </c>
      <c r="O3" s="46">
        <v>8</v>
      </c>
      <c r="P3" s="46" t="s">
        <v>312</v>
      </c>
      <c r="Q3" s="46">
        <v>5</v>
      </c>
      <c r="R3" s="46" t="s">
        <v>163</v>
      </c>
      <c r="S3" s="46" t="s">
        <v>165</v>
      </c>
      <c r="T3" s="46">
        <v>975650</v>
      </c>
      <c r="U3" s="46">
        <v>1</v>
      </c>
      <c r="V3" s="46" t="s">
        <v>809</v>
      </c>
      <c r="W3" s="46" t="s">
        <v>810</v>
      </c>
      <c r="X3" s="46" t="s">
        <v>811</v>
      </c>
      <c r="Y3" s="46" t="s">
        <v>812</v>
      </c>
      <c r="Z3" s="46" t="s">
        <v>167</v>
      </c>
    </row>
    <row r="4" spans="1:26" x14ac:dyDescent="0.25">
      <c r="B4" s="46">
        <v>2</v>
      </c>
      <c r="C4" s="46" t="s">
        <v>813</v>
      </c>
      <c r="D4" s="46" t="s">
        <v>814</v>
      </c>
      <c r="E4" s="46" t="s">
        <v>815</v>
      </c>
      <c r="F4" s="46" t="s">
        <v>814</v>
      </c>
      <c r="G4" s="46">
        <v>126</v>
      </c>
      <c r="H4" s="46" t="s">
        <v>123</v>
      </c>
      <c r="I4" s="46"/>
      <c r="J4" s="46">
        <v>4</v>
      </c>
      <c r="K4" s="46" t="s">
        <v>90</v>
      </c>
      <c r="L4" s="46">
        <v>73</v>
      </c>
      <c r="M4" s="46">
        <v>1</v>
      </c>
      <c r="N4" s="46">
        <v>1157</v>
      </c>
      <c r="O4" s="46">
        <v>0</v>
      </c>
      <c r="P4" s="46" t="s">
        <v>816</v>
      </c>
      <c r="Q4" s="46">
        <v>7</v>
      </c>
      <c r="R4" s="46" t="s">
        <v>163</v>
      </c>
      <c r="S4" s="46" t="s">
        <v>165</v>
      </c>
      <c r="T4" s="46">
        <v>216125</v>
      </c>
      <c r="U4" s="46">
        <v>1</v>
      </c>
      <c r="V4" s="46" t="s">
        <v>213</v>
      </c>
      <c r="W4" s="46" t="s">
        <v>817</v>
      </c>
      <c r="X4" s="46" t="s">
        <v>818</v>
      </c>
      <c r="Y4" s="46" t="s">
        <v>819</v>
      </c>
      <c r="Z4" s="46" t="s">
        <v>164</v>
      </c>
    </row>
    <row r="5" spans="1:26" x14ac:dyDescent="0.25">
      <c r="B5" s="46">
        <v>3</v>
      </c>
      <c r="C5" s="46" t="s">
        <v>820</v>
      </c>
      <c r="D5" s="46" t="s">
        <v>293</v>
      </c>
      <c r="E5" s="46" t="s">
        <v>294</v>
      </c>
      <c r="F5" s="46" t="s">
        <v>293</v>
      </c>
      <c r="G5" s="46">
        <v>126</v>
      </c>
      <c r="H5" s="46" t="s">
        <v>126</v>
      </c>
      <c r="I5" s="46"/>
      <c r="J5" s="46">
        <v>5</v>
      </c>
      <c r="K5" s="46" t="s">
        <v>91</v>
      </c>
      <c r="L5" s="46">
        <v>73</v>
      </c>
      <c r="M5" s="46">
        <v>2</v>
      </c>
      <c r="N5" s="46">
        <v>1169</v>
      </c>
      <c r="O5" s="46">
        <v>-6</v>
      </c>
      <c r="P5" s="46" t="s">
        <v>821</v>
      </c>
      <c r="Q5" s="46">
        <v>6</v>
      </c>
      <c r="R5" s="46" t="s">
        <v>163</v>
      </c>
      <c r="S5" s="46" t="s">
        <v>165</v>
      </c>
      <c r="T5" s="46">
        <v>271700</v>
      </c>
      <c r="U5" s="46">
        <v>1</v>
      </c>
      <c r="V5" s="46" t="s">
        <v>174</v>
      </c>
      <c r="W5" s="46" t="s">
        <v>295</v>
      </c>
      <c r="X5" s="46" t="s">
        <v>215</v>
      </c>
      <c r="Y5" s="46" t="s">
        <v>296</v>
      </c>
      <c r="Z5" s="46" t="s">
        <v>167</v>
      </c>
    </row>
    <row r="6" spans="1:26" x14ac:dyDescent="0.25">
      <c r="B6" s="46">
        <v>4</v>
      </c>
      <c r="C6" s="46" t="s">
        <v>822</v>
      </c>
      <c r="D6" s="46" t="s">
        <v>823</v>
      </c>
      <c r="E6" s="46" t="s">
        <v>824</v>
      </c>
      <c r="F6" s="46" t="s">
        <v>823</v>
      </c>
      <c r="G6" s="46">
        <v>123</v>
      </c>
      <c r="H6" s="46" t="s">
        <v>172</v>
      </c>
      <c r="I6" s="46"/>
      <c r="J6" s="46">
        <v>12</v>
      </c>
      <c r="K6" s="46" t="s">
        <v>88</v>
      </c>
      <c r="L6" s="46">
        <v>70</v>
      </c>
      <c r="M6" s="46">
        <v>8</v>
      </c>
      <c r="N6" s="46">
        <v>1120</v>
      </c>
      <c r="O6" s="46">
        <v>4</v>
      </c>
      <c r="P6" s="46" t="s">
        <v>825</v>
      </c>
      <c r="Q6" s="46">
        <v>5</v>
      </c>
      <c r="R6" s="46" t="s">
        <v>163</v>
      </c>
      <c r="S6" s="46" t="s">
        <v>165</v>
      </c>
      <c r="T6" s="46">
        <v>703950</v>
      </c>
      <c r="U6" s="46">
        <v>2</v>
      </c>
      <c r="V6" s="46"/>
      <c r="W6" s="46" t="s">
        <v>826</v>
      </c>
      <c r="X6" s="46" t="s">
        <v>380</v>
      </c>
      <c r="Y6" s="46" t="s">
        <v>827</v>
      </c>
      <c r="Z6" s="46" t="s">
        <v>164</v>
      </c>
    </row>
    <row r="7" spans="1:26" x14ac:dyDescent="0.25">
      <c r="B7" s="46">
        <v>5</v>
      </c>
      <c r="C7" s="46" t="s">
        <v>828</v>
      </c>
      <c r="D7" s="46" t="s">
        <v>829</v>
      </c>
      <c r="E7" s="46" t="s">
        <v>830</v>
      </c>
      <c r="F7" s="46" t="s">
        <v>829</v>
      </c>
      <c r="G7" s="46">
        <v>121</v>
      </c>
      <c r="H7" s="46" t="s">
        <v>259</v>
      </c>
      <c r="I7" s="46"/>
      <c r="J7" s="46">
        <v>11</v>
      </c>
      <c r="K7" s="46" t="s">
        <v>98</v>
      </c>
      <c r="L7" s="46">
        <v>68</v>
      </c>
      <c r="M7" s="46">
        <v>0</v>
      </c>
      <c r="N7" s="46">
        <v>1180</v>
      </c>
      <c r="O7" s="46">
        <v>-1</v>
      </c>
      <c r="P7" s="46" t="s">
        <v>794</v>
      </c>
      <c r="Q7" s="46">
        <v>7</v>
      </c>
      <c r="R7" s="46" t="s">
        <v>163</v>
      </c>
      <c r="S7" s="46" t="s">
        <v>165</v>
      </c>
      <c r="T7" s="46">
        <v>43225</v>
      </c>
      <c r="U7" s="46">
        <v>1</v>
      </c>
      <c r="V7" s="46" t="s">
        <v>166</v>
      </c>
      <c r="W7" s="46" t="s">
        <v>831</v>
      </c>
      <c r="X7" s="46" t="s">
        <v>178</v>
      </c>
      <c r="Y7" s="46" t="s">
        <v>832</v>
      </c>
      <c r="Z7" s="46" t="s">
        <v>167</v>
      </c>
    </row>
    <row r="8" spans="1:26" x14ac:dyDescent="0.25">
      <c r="B8" s="46">
        <v>6</v>
      </c>
      <c r="C8" s="46" t="s">
        <v>833</v>
      </c>
      <c r="D8" s="46" t="s">
        <v>834</v>
      </c>
      <c r="E8" s="46" t="s">
        <v>835</v>
      </c>
      <c r="F8" s="46" t="s">
        <v>834</v>
      </c>
      <c r="G8" s="46">
        <v>119</v>
      </c>
      <c r="H8" s="46" t="s">
        <v>169</v>
      </c>
      <c r="I8" s="46"/>
      <c r="J8" s="46">
        <v>3</v>
      </c>
      <c r="K8" s="46" t="s">
        <v>103</v>
      </c>
      <c r="L8" s="46">
        <v>66</v>
      </c>
      <c r="M8" s="46">
        <v>-5</v>
      </c>
      <c r="N8" s="46">
        <v>1082</v>
      </c>
      <c r="O8" s="46">
        <v>19</v>
      </c>
      <c r="P8" s="46"/>
      <c r="Q8" s="46">
        <v>6</v>
      </c>
      <c r="R8" s="46" t="s">
        <v>163</v>
      </c>
      <c r="S8" s="46" t="s">
        <v>165</v>
      </c>
      <c r="T8" s="46">
        <v>0</v>
      </c>
      <c r="U8" s="46">
        <v>2</v>
      </c>
      <c r="V8" s="46" t="s">
        <v>174</v>
      </c>
      <c r="W8" s="46" t="s">
        <v>836</v>
      </c>
      <c r="X8" s="46" t="s">
        <v>237</v>
      </c>
      <c r="Y8" s="46" t="s">
        <v>837</v>
      </c>
      <c r="Z8" s="46" t="s">
        <v>164</v>
      </c>
    </row>
    <row r="9" spans="1:26" x14ac:dyDescent="0.25">
      <c r="B9" s="46">
        <v>7</v>
      </c>
      <c r="C9" s="46">
        <v>8</v>
      </c>
      <c r="D9" s="46" t="s">
        <v>838</v>
      </c>
      <c r="E9" s="46" t="s">
        <v>839</v>
      </c>
      <c r="F9" s="46" t="s">
        <v>838</v>
      </c>
      <c r="G9" s="46">
        <v>119</v>
      </c>
      <c r="H9" s="46" t="s">
        <v>175</v>
      </c>
      <c r="I9" s="46"/>
      <c r="J9" s="46">
        <v>2</v>
      </c>
      <c r="K9" s="46" t="s">
        <v>94</v>
      </c>
      <c r="L9" s="46">
        <v>66</v>
      </c>
      <c r="M9" s="46">
        <v>0</v>
      </c>
      <c r="N9" s="46">
        <v>1066</v>
      </c>
      <c r="O9" s="46">
        <v>-1</v>
      </c>
      <c r="P9" s="46" t="s">
        <v>840</v>
      </c>
      <c r="Q9" s="46">
        <v>4</v>
      </c>
      <c r="R9" s="46" t="s">
        <v>163</v>
      </c>
      <c r="S9" s="46" t="s">
        <v>165</v>
      </c>
      <c r="T9" s="46">
        <v>0</v>
      </c>
      <c r="U9" s="46">
        <v>1</v>
      </c>
      <c r="V9" s="46" t="s">
        <v>358</v>
      </c>
      <c r="W9" s="46" t="s">
        <v>841</v>
      </c>
      <c r="X9" s="46" t="s">
        <v>314</v>
      </c>
      <c r="Y9" s="46" t="s">
        <v>842</v>
      </c>
      <c r="Z9" s="46" t="s">
        <v>164</v>
      </c>
    </row>
    <row r="10" spans="1:26" x14ac:dyDescent="0.25">
      <c r="B10" s="46">
        <v>8</v>
      </c>
      <c r="C10" s="46" t="s">
        <v>843</v>
      </c>
      <c r="D10" s="46" t="s">
        <v>844</v>
      </c>
      <c r="E10" s="46" t="s">
        <v>845</v>
      </c>
      <c r="F10" s="46" t="s">
        <v>844</v>
      </c>
      <c r="G10" s="46">
        <v>118</v>
      </c>
      <c r="H10" s="46" t="s">
        <v>116</v>
      </c>
      <c r="I10" s="46"/>
      <c r="J10" s="46">
        <v>1</v>
      </c>
      <c r="K10" s="46" t="s">
        <v>104</v>
      </c>
      <c r="L10" s="46">
        <v>65</v>
      </c>
      <c r="M10" s="46">
        <v>-5</v>
      </c>
      <c r="N10" s="46">
        <v>1135</v>
      </c>
      <c r="O10" s="46">
        <v>-9</v>
      </c>
      <c r="P10" s="46"/>
      <c r="Q10" s="46">
        <v>4</v>
      </c>
      <c r="R10" s="46" t="s">
        <v>163</v>
      </c>
      <c r="S10" s="46" t="s">
        <v>165</v>
      </c>
      <c r="T10" s="46">
        <v>0</v>
      </c>
      <c r="U10" s="46">
        <v>2</v>
      </c>
      <c r="V10" s="46" t="s">
        <v>166</v>
      </c>
      <c r="W10" s="46" t="s">
        <v>846</v>
      </c>
      <c r="X10" s="46" t="s">
        <v>344</v>
      </c>
      <c r="Y10" s="46" t="s">
        <v>847</v>
      </c>
      <c r="Z10" s="46" t="s">
        <v>164</v>
      </c>
    </row>
    <row r="11" spans="1:26" x14ac:dyDescent="0.25">
      <c r="B11" s="46">
        <v>9</v>
      </c>
      <c r="C11" s="46" t="s">
        <v>848</v>
      </c>
      <c r="D11" s="46" t="s">
        <v>297</v>
      </c>
      <c r="E11" s="46" t="s">
        <v>298</v>
      </c>
      <c r="F11" s="46" t="s">
        <v>297</v>
      </c>
      <c r="G11" s="46">
        <v>118</v>
      </c>
      <c r="H11" s="46" t="s">
        <v>135</v>
      </c>
      <c r="I11" s="46"/>
      <c r="J11" s="46">
        <v>10</v>
      </c>
      <c r="K11" s="46" t="s">
        <v>108</v>
      </c>
      <c r="L11" s="46">
        <v>65</v>
      </c>
      <c r="M11" s="46">
        <v>-2</v>
      </c>
      <c r="N11" s="46">
        <v>1182</v>
      </c>
      <c r="O11" s="46">
        <v>0</v>
      </c>
      <c r="P11" s="46" t="s">
        <v>232</v>
      </c>
      <c r="Q11" s="46">
        <v>6</v>
      </c>
      <c r="R11" s="46" t="s">
        <v>163</v>
      </c>
      <c r="S11" s="46" t="s">
        <v>165</v>
      </c>
      <c r="T11" s="46">
        <v>0</v>
      </c>
      <c r="U11" s="46">
        <v>1</v>
      </c>
      <c r="V11" s="46"/>
      <c r="W11" s="46" t="s">
        <v>299</v>
      </c>
      <c r="X11" s="46" t="s">
        <v>300</v>
      </c>
      <c r="Y11" s="46" t="s">
        <v>301</v>
      </c>
      <c r="Z11" s="46" t="s">
        <v>164</v>
      </c>
    </row>
    <row r="12" spans="1:26" x14ac:dyDescent="0.25">
      <c r="B12" s="46">
        <v>10</v>
      </c>
      <c r="C12" s="46" t="s">
        <v>849</v>
      </c>
      <c r="D12" s="46" t="s">
        <v>376</v>
      </c>
      <c r="E12" s="46" t="s">
        <v>377</v>
      </c>
      <c r="F12" s="46" t="s">
        <v>376</v>
      </c>
      <c r="G12" s="46">
        <v>117</v>
      </c>
      <c r="H12" s="46" t="s">
        <v>182</v>
      </c>
      <c r="I12" s="46"/>
      <c r="J12" s="46">
        <v>9</v>
      </c>
      <c r="K12" s="46" t="s">
        <v>96</v>
      </c>
      <c r="L12" s="46">
        <v>64</v>
      </c>
      <c r="M12" s="46">
        <v>-2</v>
      </c>
      <c r="N12" s="46">
        <v>1219</v>
      </c>
      <c r="O12" s="46">
        <v>-14</v>
      </c>
      <c r="P12" s="46"/>
      <c r="Q12" s="46">
        <v>5</v>
      </c>
      <c r="R12" s="46" t="s">
        <v>163</v>
      </c>
      <c r="S12" s="46" t="s">
        <v>165</v>
      </c>
      <c r="T12" s="46">
        <v>0</v>
      </c>
      <c r="U12" s="46">
        <v>1</v>
      </c>
      <c r="V12" s="46"/>
      <c r="W12" s="46" t="s">
        <v>378</v>
      </c>
      <c r="X12" s="46" t="s">
        <v>218</v>
      </c>
      <c r="Y12" s="46" t="s">
        <v>379</v>
      </c>
      <c r="Z12" s="46" t="s">
        <v>164</v>
      </c>
    </row>
    <row r="13" spans="1:26" x14ac:dyDescent="0.25">
      <c r="B13" s="46">
        <v>11</v>
      </c>
      <c r="C13" s="46" t="s">
        <v>850</v>
      </c>
      <c r="D13" s="46" t="s">
        <v>851</v>
      </c>
      <c r="E13" s="46" t="s">
        <v>852</v>
      </c>
      <c r="F13" s="46" t="s">
        <v>851</v>
      </c>
      <c r="G13" s="46">
        <v>114</v>
      </c>
      <c r="H13" s="46" t="s">
        <v>217</v>
      </c>
      <c r="I13" s="46"/>
      <c r="J13" s="46">
        <v>7</v>
      </c>
      <c r="K13" s="46" t="s">
        <v>101</v>
      </c>
      <c r="L13" s="46">
        <v>61</v>
      </c>
      <c r="M13" s="46">
        <v>0</v>
      </c>
      <c r="N13" s="46">
        <v>1110</v>
      </c>
      <c r="O13" s="46">
        <v>9</v>
      </c>
      <c r="P13" s="46" t="s">
        <v>221</v>
      </c>
      <c r="Q13" s="46">
        <v>7</v>
      </c>
      <c r="R13" s="46" t="s">
        <v>163</v>
      </c>
      <c r="S13" s="46" t="s">
        <v>165</v>
      </c>
      <c r="T13" s="46">
        <v>0</v>
      </c>
      <c r="U13" s="46">
        <v>2</v>
      </c>
      <c r="V13" s="46" t="s">
        <v>853</v>
      </c>
      <c r="W13" s="46" t="s">
        <v>854</v>
      </c>
      <c r="X13" s="46" t="s">
        <v>855</v>
      </c>
      <c r="Y13" s="46" t="s">
        <v>856</v>
      </c>
      <c r="Z13" s="46" t="s">
        <v>167</v>
      </c>
    </row>
    <row r="14" spans="1:26" x14ac:dyDescent="0.25">
      <c r="B14" s="46">
        <v>12</v>
      </c>
      <c r="C14" s="46" t="s">
        <v>857</v>
      </c>
      <c r="D14" s="46" t="s">
        <v>858</v>
      </c>
      <c r="E14" s="46" t="s">
        <v>859</v>
      </c>
      <c r="F14" s="46" t="s">
        <v>858</v>
      </c>
      <c r="G14" s="46">
        <v>114</v>
      </c>
      <c r="H14" s="46" t="s">
        <v>112</v>
      </c>
      <c r="I14" s="46">
        <v>2</v>
      </c>
      <c r="J14" s="46">
        <v>6</v>
      </c>
      <c r="K14" s="46" t="s">
        <v>102</v>
      </c>
      <c r="L14" s="46">
        <v>61</v>
      </c>
      <c r="M14" s="46">
        <v>-3</v>
      </c>
      <c r="N14" s="46">
        <v>1093</v>
      </c>
      <c r="O14" s="46">
        <v>22</v>
      </c>
      <c r="P14" s="46" t="s">
        <v>860</v>
      </c>
      <c r="Q14" s="46">
        <v>5</v>
      </c>
      <c r="R14" s="46" t="s">
        <v>163</v>
      </c>
      <c r="S14" s="46" t="s">
        <v>165</v>
      </c>
      <c r="T14" s="46">
        <v>0</v>
      </c>
      <c r="U14" s="46">
        <v>1</v>
      </c>
      <c r="V14" s="46" t="s">
        <v>181</v>
      </c>
      <c r="W14" s="46" t="s">
        <v>861</v>
      </c>
      <c r="X14" s="46" t="s">
        <v>375</v>
      </c>
      <c r="Y14" s="46" t="s">
        <v>862</v>
      </c>
      <c r="Z14" s="46" t="s">
        <v>164</v>
      </c>
    </row>
    <row r="15" spans="1:26" x14ac:dyDescent="0.25">
      <c r="B15" s="46"/>
      <c r="C15" s="58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</row>
    <row r="16" spans="1:26" x14ac:dyDescent="0.25">
      <c r="B16" s="46"/>
      <c r="C16" s="58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</row>
    <row r="17" spans="3:3" x14ac:dyDescent="0.25">
      <c r="C17" s="59"/>
    </row>
    <row r="18" spans="3:3" x14ac:dyDescent="0.25">
      <c r="C18" s="59"/>
    </row>
    <row r="19" spans="3:3" x14ac:dyDescent="0.25">
      <c r="C19" s="59"/>
    </row>
    <row r="20" spans="3:3" x14ac:dyDescent="0.25">
      <c r="C20" s="59"/>
    </row>
    <row r="21" spans="3:3" x14ac:dyDescent="0.25">
      <c r="C21" s="47"/>
    </row>
    <row r="22" spans="3:3" x14ac:dyDescent="0.25">
      <c r="C22" s="47"/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Z22"/>
  <sheetViews>
    <sheetView workbookViewId="0">
      <selection activeCell="C3" sqref="C3:C22"/>
    </sheetView>
  </sheetViews>
  <sheetFormatPr defaultRowHeight="15.75" x14ac:dyDescent="0.25"/>
  <sheetData>
    <row r="1" spans="1:26" x14ac:dyDescent="0.25">
      <c r="A1" t="s">
        <v>864</v>
      </c>
    </row>
    <row r="2" spans="1:26" x14ac:dyDescent="0.25"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</row>
    <row r="3" spans="1:26" x14ac:dyDescent="0.25">
      <c r="B3" s="46"/>
      <c r="C3" s="58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1:26" x14ac:dyDescent="0.25">
      <c r="B4" s="46"/>
      <c r="C4" s="58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</row>
    <row r="5" spans="1:26" x14ac:dyDescent="0.25">
      <c r="B5" s="46"/>
      <c r="C5" s="58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</row>
    <row r="6" spans="1:26" x14ac:dyDescent="0.25">
      <c r="B6" s="46"/>
      <c r="C6" s="58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</row>
    <row r="7" spans="1:26" x14ac:dyDescent="0.25">
      <c r="B7" s="46"/>
      <c r="C7" s="58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</row>
    <row r="8" spans="1:26" x14ac:dyDescent="0.25">
      <c r="B8" s="46"/>
      <c r="C8" s="58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</row>
    <row r="9" spans="1:26" x14ac:dyDescent="0.25">
      <c r="B9" s="46"/>
      <c r="C9" s="58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</row>
    <row r="10" spans="1:26" x14ac:dyDescent="0.25">
      <c r="B10" s="46"/>
      <c r="C10" s="58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x14ac:dyDescent="0.25">
      <c r="B11" s="46"/>
      <c r="C11" s="58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x14ac:dyDescent="0.25">
      <c r="B12" s="46"/>
      <c r="C12" s="58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</row>
    <row r="13" spans="1:26" x14ac:dyDescent="0.25">
      <c r="B13" s="46"/>
      <c r="C13" s="58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</row>
    <row r="14" spans="1:26" x14ac:dyDescent="0.25">
      <c r="B14" s="46"/>
      <c r="C14" s="58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</row>
    <row r="15" spans="1:26" x14ac:dyDescent="0.25">
      <c r="B15" s="46"/>
      <c r="C15" s="58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</row>
    <row r="16" spans="1:26" x14ac:dyDescent="0.25">
      <c r="B16" s="46"/>
      <c r="C16" s="58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</row>
    <row r="17" spans="3:3" x14ac:dyDescent="0.25">
      <c r="C17" s="59"/>
    </row>
    <row r="18" spans="3:3" x14ac:dyDescent="0.25">
      <c r="C18" s="59"/>
    </row>
    <row r="19" spans="3:3" x14ac:dyDescent="0.25">
      <c r="C19" s="59"/>
    </row>
    <row r="20" spans="3:3" x14ac:dyDescent="0.25">
      <c r="C20" s="59"/>
    </row>
    <row r="21" spans="3:3" x14ac:dyDescent="0.25">
      <c r="C21" s="47"/>
    </row>
    <row r="22" spans="3:3" x14ac:dyDescent="0.25">
      <c r="C22" s="47"/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22"/>
  <sheetViews>
    <sheetView workbookViewId="0">
      <selection activeCell="C3" sqref="C3:C22"/>
    </sheetView>
  </sheetViews>
  <sheetFormatPr defaultRowHeight="15.75" x14ac:dyDescent="0.25"/>
  <sheetData>
    <row r="1" spans="1:3" x14ac:dyDescent="0.25">
      <c r="A1" t="s">
        <v>865</v>
      </c>
    </row>
    <row r="2" spans="1:3" x14ac:dyDescent="0.25">
      <c r="B2" s="46"/>
    </row>
    <row r="3" spans="1:3" x14ac:dyDescent="0.25">
      <c r="B3" s="46"/>
      <c r="C3" s="59"/>
    </row>
    <row r="4" spans="1:3" x14ac:dyDescent="0.25">
      <c r="C4" s="59"/>
    </row>
    <row r="5" spans="1:3" x14ac:dyDescent="0.25">
      <c r="C5" s="59"/>
    </row>
    <row r="6" spans="1:3" x14ac:dyDescent="0.25">
      <c r="C6" s="59"/>
    </row>
    <row r="7" spans="1:3" x14ac:dyDescent="0.25">
      <c r="C7" s="59"/>
    </row>
    <row r="8" spans="1:3" x14ac:dyDescent="0.25">
      <c r="C8" s="59"/>
    </row>
    <row r="9" spans="1:3" x14ac:dyDescent="0.25">
      <c r="C9" s="59"/>
    </row>
    <row r="10" spans="1:3" x14ac:dyDescent="0.25">
      <c r="C10" s="59"/>
    </row>
    <row r="11" spans="1:3" x14ac:dyDescent="0.25">
      <c r="C11" s="59"/>
    </row>
    <row r="12" spans="1:3" x14ac:dyDescent="0.25">
      <c r="C12" s="59"/>
    </row>
    <row r="13" spans="1:3" x14ac:dyDescent="0.25">
      <c r="C13" s="59"/>
    </row>
    <row r="14" spans="1:3" x14ac:dyDescent="0.25">
      <c r="C14" s="59"/>
    </row>
    <row r="15" spans="1:3" x14ac:dyDescent="0.25">
      <c r="C15" s="59"/>
    </row>
    <row r="16" spans="1:3" x14ac:dyDescent="0.25">
      <c r="C16" s="59"/>
    </row>
    <row r="17" spans="3:3" x14ac:dyDescent="0.25">
      <c r="C17" s="59"/>
    </row>
    <row r="18" spans="3:3" x14ac:dyDescent="0.25">
      <c r="C18" s="59"/>
    </row>
    <row r="19" spans="3:3" x14ac:dyDescent="0.25">
      <c r="C19" s="59"/>
    </row>
    <row r="20" spans="3:3" x14ac:dyDescent="0.25">
      <c r="C20" s="59"/>
    </row>
    <row r="21" spans="3:3" x14ac:dyDescent="0.25">
      <c r="C21" s="47"/>
    </row>
    <row r="22" spans="3:3" x14ac:dyDescent="0.25">
      <c r="C22" s="47"/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.75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14</vt:i4>
      </vt:variant>
    </vt:vector>
  </HeadingPairs>
  <TitlesOfParts>
    <vt:vector size="32" baseType="lpstr">
      <vt:lpstr>RaceModel</vt:lpstr>
      <vt:lpstr>Trainer</vt:lpstr>
      <vt:lpstr>Gate</vt:lpstr>
      <vt:lpstr>Jockey</vt:lpstr>
      <vt:lpstr>JkcStat</vt:lpstr>
      <vt:lpstr>special</vt:lpstr>
      <vt:lpstr>R1</vt:lpstr>
      <vt:lpstr>R2</vt:lpstr>
      <vt:lpstr>R3</vt:lpstr>
      <vt:lpstr>R4</vt:lpstr>
      <vt:lpstr>R5</vt:lpstr>
      <vt:lpstr>R6</vt:lpstr>
      <vt:lpstr>R7</vt:lpstr>
      <vt:lpstr>R9</vt:lpstr>
      <vt:lpstr>R8</vt:lpstr>
      <vt:lpstr>R10</vt:lpstr>
      <vt:lpstr>R11</vt:lpstr>
      <vt:lpstr>Temp</vt:lpstr>
      <vt:lpstr>'R1'!_1_2</vt:lpstr>
      <vt:lpstr>'R10'!_10_2</vt:lpstr>
      <vt:lpstr>'R11'!_11_2</vt:lpstr>
      <vt:lpstr>'R2'!_2_2</vt:lpstr>
      <vt:lpstr>'R3'!_3_2</vt:lpstr>
      <vt:lpstr>'R4'!_4_2</vt:lpstr>
      <vt:lpstr>'R5'!_5_2</vt:lpstr>
      <vt:lpstr>'R6'!_6_2</vt:lpstr>
      <vt:lpstr>'R7'!_7_2</vt:lpstr>
      <vt:lpstr>'R8'!_8_2</vt:lpstr>
      <vt:lpstr>'R9'!_9_2</vt:lpstr>
      <vt:lpstr>Gate!Local</vt:lpstr>
      <vt:lpstr>JkcStat!Local</vt:lpstr>
      <vt:lpstr>Trainer!TrainerEntryTable_2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</dc:creator>
  <cp:lastModifiedBy>Leo Li</cp:lastModifiedBy>
  <dcterms:created xsi:type="dcterms:W3CDTF">2015-09-30T02:53:17Z</dcterms:created>
  <dcterms:modified xsi:type="dcterms:W3CDTF">2016-10-20T01:23:00Z</dcterms:modified>
</cp:coreProperties>
</file>